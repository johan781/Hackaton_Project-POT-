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65fc3e56a62949/Desktop/La wea/LA WEA 2/frontend/public/"/>
    </mc:Choice>
  </mc:AlternateContent>
  <xr:revisionPtr revIDLastSave="3" documentId="13_ncr:1_{0E79DC80-28B6-465F-BBE8-BA1841BFFF46}" xr6:coauthVersionLast="47" xr6:coauthVersionMax="47" xr10:uidLastSave="{2486984A-CAD4-4E42-A3A2-1F0E7AC36356}"/>
  <bookViews>
    <workbookView xWindow="11424" yWindow="0" windowWidth="11712" windowHeight="12336" xr2:uid="{520B7D64-852A-4CBE-8246-4F7A1F542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4" i="1" l="1"/>
  <c r="Z34" i="1"/>
  <c r="R19" i="1"/>
  <c r="R21" i="1"/>
  <c r="R23" i="1" s="1"/>
  <c r="R25" i="1" s="1"/>
</calcChain>
</file>

<file path=xl/sharedStrings.xml><?xml version="1.0" encoding="utf-8"?>
<sst xmlns="http://schemas.openxmlformats.org/spreadsheetml/2006/main" count="157" uniqueCount="16">
  <si>
    <t>No.</t>
  </si>
  <si>
    <t>Pruebas de Tracción</t>
  </si>
  <si>
    <t>Pruebas de Compresión</t>
  </si>
  <si>
    <t>Pruebas de Carga Lateral</t>
  </si>
  <si>
    <t>Tiempo (s)</t>
  </si>
  <si>
    <t>kg</t>
  </si>
  <si>
    <t>kN</t>
  </si>
  <si>
    <t xml:space="preserve">0,0 </t>
  </si>
  <si>
    <t>TRACKER 2P</t>
  </si>
  <si>
    <t>TIPO A</t>
  </si>
  <si>
    <t>TIPO B</t>
  </si>
  <si>
    <t>0,0</t>
  </si>
  <si>
    <t>TRACKER 1P</t>
  </si>
  <si>
    <t>cl</t>
  </si>
  <si>
    <t>r*m=M3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</si>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</sst>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rgb="FF000000"/>
      <name val="Poppins"/>
    </font>
    <font>
      <sz val="11"/>
      <color theme="1"/>
      <name val="Poppins"/>
    </font>
    <font>
      <sz val="11"/>
      <color rgb="FF000000"/>
      <name val="Poppins"/>
    </font>
    <font>
      <sz val="12"/>
      <color theme="1"/>
      <name val="Poppins"/>
    </font>
    <font>
      <b/>
      <sz val="11"/>
      <color rgb="FF000000"/>
      <name val="Arial Nova Cond"/>
      <family val="2"/>
    </font>
    <font>
      <b/>
      <sz val="11"/>
      <color theme="1"/>
      <name val="Arial Nova Cond"/>
      <family val="2"/>
    </font>
    <font>
      <sz val="11"/>
      <color theme="1"/>
      <name val="Arial Nova Cond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5D52-32C8-4998-B696-539939AA63DE}">
  <dimension ref="A1:AM54"/>
  <sheetViews>
    <sheetView tabSelected="1" zoomScale="55" zoomScaleNormal="55" workbookViewId="0">
      <selection activeCell="H18" sqref="H18"/>
    </sheetView>
  </sheetViews>
  <sheetFormatPr baseColWidth="10" defaultColWidth="8.88671875" defaultRowHeight="14.4"/>
  <cols>
    <col min="9" max="9" width="11.77734375" bestFit="1" customWidth="1"/>
    <col min="19" max="19" width="11.77734375" customWidth="1"/>
    <col min="29" max="29" width="8.33203125" bestFit="1" customWidth="1"/>
    <col min="39" max="39" width="8.33203125" bestFit="1" customWidth="1"/>
  </cols>
  <sheetData>
    <row r="1" spans="1:39">
      <c r="E1" t="s">
        <v>8</v>
      </c>
      <c r="O1" t="s">
        <v>12</v>
      </c>
      <c r="Y1" t="s">
        <v>12</v>
      </c>
      <c r="AI1" t="s">
        <v>8</v>
      </c>
    </row>
    <row r="2" spans="1:39" ht="15" thickBot="1">
      <c r="A2" t="s">
        <v>9</v>
      </c>
      <c r="K2" t="s">
        <v>9</v>
      </c>
      <c r="U2" t="s">
        <v>9</v>
      </c>
      <c r="AE2" t="s">
        <v>9</v>
      </c>
    </row>
    <row r="3" spans="1:39" ht="40.200000000000003" customHeight="1" thickBot="1">
      <c r="B3" s="16" t="s">
        <v>0</v>
      </c>
      <c r="C3" s="18" t="s">
        <v>1</v>
      </c>
      <c r="D3" s="19"/>
      <c r="E3" s="18" t="s">
        <v>2</v>
      </c>
      <c r="F3" s="19"/>
      <c r="G3" s="18" t="s">
        <v>3</v>
      </c>
      <c r="H3" s="19"/>
      <c r="I3" s="16" t="s">
        <v>4</v>
      </c>
      <c r="L3" s="16" t="s">
        <v>0</v>
      </c>
      <c r="M3" s="18" t="s">
        <v>1</v>
      </c>
      <c r="N3" s="19"/>
      <c r="O3" s="18" t="s">
        <v>2</v>
      </c>
      <c r="P3" s="19"/>
      <c r="Q3" s="18" t="s">
        <v>3</v>
      </c>
      <c r="R3" s="19"/>
      <c r="S3" s="16" t="s">
        <v>4</v>
      </c>
      <c r="V3" s="20" t="s">
        <v>0</v>
      </c>
      <c r="W3" s="22" t="s">
        <v>1</v>
      </c>
      <c r="X3" s="23"/>
      <c r="Y3" s="22" t="s">
        <v>2</v>
      </c>
      <c r="Z3" s="23"/>
      <c r="AA3" s="22" t="s">
        <v>3</v>
      </c>
      <c r="AB3" s="23"/>
      <c r="AC3" s="20" t="s">
        <v>4</v>
      </c>
      <c r="AF3" s="20" t="s">
        <v>0</v>
      </c>
      <c r="AG3" s="22" t="s">
        <v>1</v>
      </c>
      <c r="AH3" s="23"/>
      <c r="AI3" s="22" t="s">
        <v>2</v>
      </c>
      <c r="AJ3" s="23"/>
      <c r="AK3" s="22" t="s">
        <v>3</v>
      </c>
      <c r="AL3" s="23"/>
      <c r="AM3" s="20" t="s">
        <v>4</v>
      </c>
    </row>
    <row r="4" spans="1:39" ht="21" thickBot="1">
      <c r="B4" s="17"/>
      <c r="C4" s="1" t="s">
        <v>5</v>
      </c>
      <c r="D4" s="1" t="s">
        <v>6</v>
      </c>
      <c r="E4" s="1" t="s">
        <v>5</v>
      </c>
      <c r="F4" s="1" t="s">
        <v>6</v>
      </c>
      <c r="G4" s="1" t="s">
        <v>5</v>
      </c>
      <c r="H4" s="1" t="s">
        <v>6</v>
      </c>
      <c r="I4" s="17"/>
      <c r="L4" s="17"/>
      <c r="M4" s="1" t="s">
        <v>5</v>
      </c>
      <c r="N4" s="1" t="s">
        <v>6</v>
      </c>
      <c r="O4" s="1" t="s">
        <v>5</v>
      </c>
      <c r="P4" s="1" t="s">
        <v>6</v>
      </c>
      <c r="Q4" s="1" t="s">
        <v>5</v>
      </c>
      <c r="R4" s="1" t="s">
        <v>6</v>
      </c>
      <c r="S4" s="17"/>
      <c r="V4" s="21"/>
      <c r="W4" s="8" t="s">
        <v>5</v>
      </c>
      <c r="X4" s="8" t="s">
        <v>6</v>
      </c>
      <c r="Y4" s="8" t="s">
        <v>5</v>
      </c>
      <c r="Z4" s="8" t="s">
        <v>6</v>
      </c>
      <c r="AA4" s="8" t="s">
        <v>5</v>
      </c>
      <c r="AB4" s="8" t="s">
        <v>6</v>
      </c>
      <c r="AC4" s="21"/>
      <c r="AF4" s="21"/>
      <c r="AG4" s="8" t="s">
        <v>5</v>
      </c>
      <c r="AH4" s="8" t="s">
        <v>6</v>
      </c>
      <c r="AI4" s="8" t="s">
        <v>5</v>
      </c>
      <c r="AJ4" s="8" t="s">
        <v>6</v>
      </c>
      <c r="AK4" s="8" t="s">
        <v>5</v>
      </c>
      <c r="AL4" s="8" t="s">
        <v>6</v>
      </c>
      <c r="AM4" s="21"/>
    </row>
    <row r="5" spans="1:39" ht="21" thickBot="1">
      <c r="B5" s="2">
        <v>1</v>
      </c>
      <c r="C5" s="3">
        <v>248.3</v>
      </c>
      <c r="D5" s="3">
        <v>2.5</v>
      </c>
      <c r="E5" s="3">
        <v>310.39999999999998</v>
      </c>
      <c r="F5" s="3">
        <v>3.1</v>
      </c>
      <c r="G5" s="3">
        <v>568.4</v>
      </c>
      <c r="H5" s="3">
        <v>5.6</v>
      </c>
      <c r="I5" s="4">
        <v>30</v>
      </c>
      <c r="L5" s="2">
        <v>1</v>
      </c>
      <c r="M5" s="4">
        <v>117.44</v>
      </c>
      <c r="N5" s="4">
        <v>1.2</v>
      </c>
      <c r="O5" s="3">
        <v>146.80000000000001</v>
      </c>
      <c r="P5" s="3">
        <v>1.5</v>
      </c>
      <c r="Q5" s="4">
        <v>139.19999999999999</v>
      </c>
      <c r="R5" s="3">
        <v>1.4</v>
      </c>
      <c r="S5" s="4">
        <v>30</v>
      </c>
      <c r="V5" s="9">
        <v>1</v>
      </c>
      <c r="W5" s="10">
        <v>199</v>
      </c>
      <c r="X5" s="10">
        <v>1.99</v>
      </c>
      <c r="Y5" s="10">
        <v>208.95000000000002</v>
      </c>
      <c r="Z5" s="10">
        <v>2.0895000000000001</v>
      </c>
      <c r="AA5" s="10">
        <v>211.32600434310532</v>
      </c>
      <c r="AB5" s="10">
        <v>2.1132600434310533</v>
      </c>
      <c r="AC5" s="11">
        <v>30</v>
      </c>
      <c r="AF5" s="9">
        <v>1</v>
      </c>
      <c r="AG5" s="10">
        <v>199</v>
      </c>
      <c r="AH5" s="10">
        <v>1.99</v>
      </c>
      <c r="AI5" s="10">
        <v>208.95000000000002</v>
      </c>
      <c r="AJ5" s="10">
        <v>2.0895000000000001</v>
      </c>
      <c r="AK5" s="10">
        <v>346.01111111111106</v>
      </c>
      <c r="AL5" s="10">
        <v>3.4601111111111109</v>
      </c>
      <c r="AM5" s="11">
        <v>30</v>
      </c>
    </row>
    <row r="6" spans="1:39" ht="21" thickBot="1"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4">
        <v>10</v>
      </c>
      <c r="L6" s="2">
        <v>2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10</v>
      </c>
      <c r="V6" s="9">
        <v>2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1">
        <v>10</v>
      </c>
      <c r="AF6" s="9">
        <v>2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1">
        <v>10</v>
      </c>
    </row>
    <row r="7" spans="1:39" ht="21" thickBot="1">
      <c r="B7" s="2">
        <v>3</v>
      </c>
      <c r="C7" s="3">
        <v>496.6</v>
      </c>
      <c r="D7" s="3">
        <v>5</v>
      </c>
      <c r="E7" s="3">
        <v>620.79999999999995</v>
      </c>
      <c r="F7" s="3">
        <v>6.2</v>
      </c>
      <c r="G7" s="3">
        <v>1136.8</v>
      </c>
      <c r="H7" s="3">
        <v>11.3</v>
      </c>
      <c r="I7" s="4">
        <v>30</v>
      </c>
      <c r="L7" s="2">
        <v>3</v>
      </c>
      <c r="M7" s="4">
        <v>234.88</v>
      </c>
      <c r="N7" s="4">
        <v>2.2999999999999998</v>
      </c>
      <c r="O7" s="3">
        <v>293.60000000000002</v>
      </c>
      <c r="P7" s="3">
        <v>2.9</v>
      </c>
      <c r="Q7" s="3">
        <v>278.39999999999998</v>
      </c>
      <c r="R7" s="3">
        <v>2.8</v>
      </c>
      <c r="S7" s="4">
        <v>30</v>
      </c>
      <c r="V7" s="9">
        <v>3</v>
      </c>
      <c r="W7" s="10">
        <v>398</v>
      </c>
      <c r="X7" s="10">
        <v>3.98</v>
      </c>
      <c r="Y7" s="10">
        <v>417.90000000000003</v>
      </c>
      <c r="Z7" s="10">
        <v>4.1790000000000003</v>
      </c>
      <c r="AA7" s="10">
        <v>422.65200868621065</v>
      </c>
      <c r="AB7" s="10">
        <v>4.2265200868621067</v>
      </c>
      <c r="AC7" s="11">
        <v>30</v>
      </c>
      <c r="AF7" s="9">
        <v>3</v>
      </c>
      <c r="AG7" s="10">
        <v>398</v>
      </c>
      <c r="AH7" s="10">
        <v>3.98</v>
      </c>
      <c r="AI7" s="10">
        <v>417.90000000000003</v>
      </c>
      <c r="AJ7" s="10">
        <v>4.1790000000000003</v>
      </c>
      <c r="AK7" s="10">
        <v>692.02222222222213</v>
      </c>
      <c r="AL7" s="10">
        <v>6.9202222222222218</v>
      </c>
      <c r="AM7" s="11">
        <v>30</v>
      </c>
    </row>
    <row r="8" spans="1:39" ht="21" thickBot="1">
      <c r="B8" s="2">
        <v>4</v>
      </c>
      <c r="C8" s="3">
        <v>0</v>
      </c>
      <c r="D8" s="3" t="s">
        <v>7</v>
      </c>
      <c r="E8" s="3">
        <v>0</v>
      </c>
      <c r="F8" s="3">
        <v>0</v>
      </c>
      <c r="G8" s="3">
        <v>0</v>
      </c>
      <c r="H8" s="3" t="s">
        <v>7</v>
      </c>
      <c r="I8" s="4">
        <v>10</v>
      </c>
      <c r="L8" s="2">
        <v>4</v>
      </c>
      <c r="M8" s="4">
        <v>0</v>
      </c>
      <c r="N8" s="4" t="s">
        <v>11</v>
      </c>
      <c r="O8" s="4">
        <v>0</v>
      </c>
      <c r="P8" s="4">
        <v>0</v>
      </c>
      <c r="Q8" s="4">
        <v>0</v>
      </c>
      <c r="R8" s="4" t="s">
        <v>11</v>
      </c>
      <c r="S8" s="4">
        <v>10</v>
      </c>
      <c r="V8" s="9">
        <v>4</v>
      </c>
      <c r="W8" s="10">
        <v>0</v>
      </c>
      <c r="X8" s="10" t="s">
        <v>11</v>
      </c>
      <c r="Y8" s="10">
        <v>0</v>
      </c>
      <c r="Z8" s="10">
        <v>0</v>
      </c>
      <c r="AA8" s="10">
        <v>0</v>
      </c>
      <c r="AB8" s="10" t="s">
        <v>11</v>
      </c>
      <c r="AC8" s="11">
        <v>10</v>
      </c>
      <c r="AF8" s="9">
        <v>4</v>
      </c>
      <c r="AG8" s="10">
        <v>0</v>
      </c>
      <c r="AH8" s="10" t="s">
        <v>11</v>
      </c>
      <c r="AI8" s="10">
        <v>0</v>
      </c>
      <c r="AJ8" s="10">
        <v>0</v>
      </c>
      <c r="AK8" s="10">
        <v>0</v>
      </c>
      <c r="AL8" s="10" t="s">
        <v>11</v>
      </c>
      <c r="AM8" s="11">
        <v>10</v>
      </c>
    </row>
    <row r="9" spans="1:39" ht="21" thickBot="1">
      <c r="B9" s="2">
        <v>5</v>
      </c>
      <c r="C9" s="3">
        <v>744.9</v>
      </c>
      <c r="D9" s="3">
        <v>7.4</v>
      </c>
      <c r="E9" s="3">
        <v>931.2</v>
      </c>
      <c r="F9" s="3">
        <v>9.3000000000000007</v>
      </c>
      <c r="G9" s="3">
        <v>1705.2</v>
      </c>
      <c r="H9" s="3">
        <v>17</v>
      </c>
      <c r="I9" s="4">
        <v>30</v>
      </c>
      <c r="L9" s="2">
        <v>5</v>
      </c>
      <c r="M9" s="4">
        <v>352.32</v>
      </c>
      <c r="N9" s="3">
        <v>3.5</v>
      </c>
      <c r="O9" s="3">
        <v>440.4</v>
      </c>
      <c r="P9" s="3">
        <v>4.4000000000000004</v>
      </c>
      <c r="Q9" s="3">
        <v>417.6</v>
      </c>
      <c r="R9" s="3">
        <v>4.2</v>
      </c>
      <c r="S9" s="4">
        <v>30</v>
      </c>
      <c r="V9" s="9">
        <v>5</v>
      </c>
      <c r="W9" s="10">
        <v>597</v>
      </c>
      <c r="X9" s="10">
        <v>5.97</v>
      </c>
      <c r="Y9" s="10">
        <v>626.85</v>
      </c>
      <c r="Z9" s="10">
        <v>6.2685000000000004</v>
      </c>
      <c r="AA9" s="10">
        <v>633.978013029316</v>
      </c>
      <c r="AB9" s="10">
        <v>6.3397801302931605</v>
      </c>
      <c r="AC9" s="11">
        <v>30</v>
      </c>
      <c r="AF9" s="9">
        <v>5</v>
      </c>
      <c r="AG9" s="10">
        <v>597</v>
      </c>
      <c r="AH9" s="10">
        <v>5.97</v>
      </c>
      <c r="AI9" s="10">
        <v>626.85</v>
      </c>
      <c r="AJ9" s="10">
        <v>6.2685000000000004</v>
      </c>
      <c r="AK9" s="10">
        <v>1038.0333333333333</v>
      </c>
      <c r="AL9" s="10">
        <v>10.380333333333333</v>
      </c>
      <c r="AM9" s="11">
        <v>30</v>
      </c>
    </row>
    <row r="10" spans="1:39" ht="21" thickBot="1">
      <c r="B10" s="2">
        <v>6</v>
      </c>
      <c r="C10" s="3">
        <v>0</v>
      </c>
      <c r="D10" s="3">
        <v>0</v>
      </c>
      <c r="E10" s="3">
        <v>0</v>
      </c>
      <c r="F10" s="3" t="s">
        <v>7</v>
      </c>
      <c r="G10" s="3">
        <v>0</v>
      </c>
      <c r="H10" s="3">
        <v>0</v>
      </c>
      <c r="I10" s="4">
        <v>10</v>
      </c>
      <c r="L10" s="2">
        <v>6</v>
      </c>
      <c r="M10" s="4">
        <v>0</v>
      </c>
      <c r="N10" s="4">
        <v>0</v>
      </c>
      <c r="O10" s="4">
        <v>0</v>
      </c>
      <c r="P10" s="4" t="s">
        <v>11</v>
      </c>
      <c r="Q10" s="4">
        <v>0</v>
      </c>
      <c r="R10" s="4">
        <v>0</v>
      </c>
      <c r="S10" s="4">
        <v>10</v>
      </c>
      <c r="V10" s="9">
        <v>6</v>
      </c>
      <c r="W10" s="10">
        <v>0</v>
      </c>
      <c r="X10" s="10">
        <v>0</v>
      </c>
      <c r="Y10" s="10">
        <v>0</v>
      </c>
      <c r="Z10" s="10" t="s">
        <v>11</v>
      </c>
      <c r="AA10" s="10">
        <v>0</v>
      </c>
      <c r="AB10" s="10">
        <v>0</v>
      </c>
      <c r="AC10" s="11">
        <v>10</v>
      </c>
      <c r="AF10" s="9">
        <v>6</v>
      </c>
      <c r="AG10" s="10">
        <v>0</v>
      </c>
      <c r="AH10" s="10">
        <v>0</v>
      </c>
      <c r="AI10" s="10">
        <v>0</v>
      </c>
      <c r="AJ10" s="10" t="s">
        <v>11</v>
      </c>
      <c r="AK10" s="10">
        <v>0</v>
      </c>
      <c r="AL10" s="10">
        <v>0</v>
      </c>
      <c r="AM10" s="11">
        <v>10</v>
      </c>
    </row>
    <row r="11" spans="1:39" ht="21" thickBot="1">
      <c r="B11" s="2">
        <v>7</v>
      </c>
      <c r="C11" s="3">
        <v>993.3</v>
      </c>
      <c r="D11" s="3">
        <v>9.9</v>
      </c>
      <c r="E11" s="3">
        <v>1241.5999999999999</v>
      </c>
      <c r="F11" s="3">
        <v>12.4</v>
      </c>
      <c r="G11" s="3">
        <v>2273.6</v>
      </c>
      <c r="H11" s="3">
        <v>22.7</v>
      </c>
      <c r="I11" s="4">
        <v>30</v>
      </c>
      <c r="L11" s="2">
        <v>7</v>
      </c>
      <c r="M11" s="4">
        <v>469.76</v>
      </c>
      <c r="N11" s="3">
        <v>4.7</v>
      </c>
      <c r="O11" s="3">
        <v>587</v>
      </c>
      <c r="P11" s="3">
        <v>5.9</v>
      </c>
      <c r="Q11" s="3">
        <v>556.79999999999995</v>
      </c>
      <c r="R11" s="3">
        <v>5.6</v>
      </c>
      <c r="S11" s="4">
        <v>30</v>
      </c>
      <c r="V11" s="9">
        <v>7</v>
      </c>
      <c r="W11" s="10">
        <v>796</v>
      </c>
      <c r="X11" s="10">
        <v>7.96</v>
      </c>
      <c r="Y11" s="10">
        <v>835.80000000000007</v>
      </c>
      <c r="Z11" s="10">
        <v>8.3580000000000005</v>
      </c>
      <c r="AA11" s="10">
        <v>845.3040173724213</v>
      </c>
      <c r="AB11" s="10">
        <v>8.4530401737242133</v>
      </c>
      <c r="AC11" s="11">
        <v>30</v>
      </c>
      <c r="AF11" s="9">
        <v>7</v>
      </c>
      <c r="AG11" s="10">
        <v>796</v>
      </c>
      <c r="AH11" s="10">
        <v>7.96</v>
      </c>
      <c r="AI11" s="10">
        <v>835.80000000000007</v>
      </c>
      <c r="AJ11" s="10">
        <v>8.3580000000000005</v>
      </c>
      <c r="AK11" s="10">
        <v>1384.0444444444443</v>
      </c>
      <c r="AL11" s="10">
        <v>13.840444444444444</v>
      </c>
      <c r="AM11" s="11">
        <v>30</v>
      </c>
    </row>
    <row r="12" spans="1:39" ht="21" thickBot="1"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4">
        <v>10</v>
      </c>
      <c r="L12" s="2">
        <v>8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10</v>
      </c>
      <c r="V12" s="9">
        <v>8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1">
        <v>10</v>
      </c>
      <c r="AF12" s="9">
        <v>8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1">
        <v>10</v>
      </c>
    </row>
    <row r="13" spans="1:39" ht="21" thickBot="1">
      <c r="B13" s="2">
        <v>9</v>
      </c>
      <c r="C13" s="3">
        <v>1241.5999999999999</v>
      </c>
      <c r="D13" s="3">
        <v>12.4</v>
      </c>
      <c r="E13" s="3">
        <v>1552</v>
      </c>
      <c r="F13" s="3">
        <v>15.5</v>
      </c>
      <c r="G13" s="3">
        <v>2842</v>
      </c>
      <c r="H13" s="3">
        <v>28.4</v>
      </c>
      <c r="I13" s="4">
        <v>30</v>
      </c>
      <c r="L13" s="2">
        <v>9</v>
      </c>
      <c r="M13" s="4">
        <v>587.20000000000005</v>
      </c>
      <c r="N13" s="3">
        <v>5.9</v>
      </c>
      <c r="O13" s="3">
        <v>734</v>
      </c>
      <c r="P13" s="3">
        <v>7.3</v>
      </c>
      <c r="Q13" s="3">
        <v>696</v>
      </c>
      <c r="R13" s="4">
        <v>7</v>
      </c>
      <c r="S13" s="4">
        <v>30</v>
      </c>
      <c r="V13" s="9">
        <v>9</v>
      </c>
      <c r="W13" s="10">
        <v>994.99999999999989</v>
      </c>
      <c r="X13" s="10">
        <v>9.9499999999999993</v>
      </c>
      <c r="Y13" s="10">
        <v>1044.7500000000002</v>
      </c>
      <c r="Z13" s="10">
        <v>10.447500000000002</v>
      </c>
      <c r="AA13" s="10">
        <v>1056.6300217155267</v>
      </c>
      <c r="AB13" s="10">
        <v>10.566300217155266</v>
      </c>
      <c r="AC13" s="11">
        <v>30</v>
      </c>
      <c r="AF13" s="9">
        <v>9</v>
      </c>
      <c r="AG13" s="10">
        <v>994.99999999999989</v>
      </c>
      <c r="AH13" s="10">
        <v>9.9499999999999993</v>
      </c>
      <c r="AI13" s="10">
        <v>1044.7500000000002</v>
      </c>
      <c r="AJ13" s="10">
        <v>10.447500000000002</v>
      </c>
      <c r="AK13" s="10">
        <v>1730.0555555555554</v>
      </c>
      <c r="AL13" s="10">
        <v>17.300555555555555</v>
      </c>
      <c r="AM13" s="11">
        <v>30</v>
      </c>
    </row>
    <row r="14" spans="1:39" ht="21" thickBot="1">
      <c r="L14" s="2">
        <v>10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10</v>
      </c>
      <c r="V14" s="9">
        <v>10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1">
        <v>10</v>
      </c>
      <c r="AF14" s="9">
        <v>10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1">
        <v>10</v>
      </c>
    </row>
    <row r="15" spans="1:39" ht="21" thickBot="1">
      <c r="A15" t="s">
        <v>10</v>
      </c>
      <c r="L15" s="2">
        <v>11</v>
      </c>
      <c r="M15" s="4">
        <v>704.64</v>
      </c>
      <c r="N15" s="3">
        <v>7</v>
      </c>
      <c r="O15" s="4">
        <v>880.8</v>
      </c>
      <c r="P15" s="3">
        <v>8.8000000000000007</v>
      </c>
      <c r="Q15" s="3">
        <v>835.2</v>
      </c>
      <c r="R15" s="3">
        <v>8.4</v>
      </c>
      <c r="S15" s="4">
        <v>30</v>
      </c>
      <c r="V15" s="9">
        <v>11</v>
      </c>
      <c r="W15" s="10">
        <v>1194</v>
      </c>
      <c r="X15" s="10">
        <v>11.94</v>
      </c>
      <c r="Y15" s="10">
        <v>1253.7</v>
      </c>
      <c r="Z15" s="10">
        <v>12.537000000000001</v>
      </c>
      <c r="AA15" s="10">
        <v>1267.956026058632</v>
      </c>
      <c r="AB15" s="10">
        <v>12.679560260586319</v>
      </c>
      <c r="AC15" s="11">
        <v>30</v>
      </c>
      <c r="AF15" s="9">
        <v>11</v>
      </c>
      <c r="AG15" s="10">
        <v>1194</v>
      </c>
      <c r="AH15" s="10">
        <v>11.94</v>
      </c>
      <c r="AI15" s="10">
        <v>1253.7</v>
      </c>
      <c r="AJ15" s="10">
        <v>12.537000000000001</v>
      </c>
      <c r="AK15" s="10">
        <v>2076.0666666666666</v>
      </c>
      <c r="AL15" s="10">
        <v>20.760666666666665</v>
      </c>
      <c r="AM15" s="11">
        <v>30</v>
      </c>
    </row>
    <row r="16" spans="1:39" ht="40.200000000000003" customHeight="1" thickBot="1">
      <c r="K16" t="s">
        <v>10</v>
      </c>
      <c r="U16" t="s">
        <v>10</v>
      </c>
      <c r="AE16" t="s">
        <v>10</v>
      </c>
    </row>
    <row r="17" spans="1:39" ht="40.200000000000003" customHeight="1" thickBot="1">
      <c r="B17" s="12" t="s">
        <v>0</v>
      </c>
      <c r="C17" s="18" t="s">
        <v>1</v>
      </c>
      <c r="D17" s="19"/>
      <c r="E17" s="18" t="s">
        <v>2</v>
      </c>
      <c r="F17" s="19"/>
      <c r="G17" s="18" t="s">
        <v>3</v>
      </c>
      <c r="H17" s="19"/>
      <c r="I17" s="12" t="s">
        <v>4</v>
      </c>
      <c r="L17" s="16" t="s">
        <v>0</v>
      </c>
      <c r="M17" s="18" t="s">
        <v>1</v>
      </c>
      <c r="N17" s="19"/>
      <c r="O17" s="18" t="s">
        <v>2</v>
      </c>
      <c r="P17" s="19"/>
      <c r="Q17" s="18" t="s">
        <v>3</v>
      </c>
      <c r="R17" s="19"/>
      <c r="S17" s="16" t="s">
        <v>4</v>
      </c>
      <c r="V17" s="20" t="s">
        <v>0</v>
      </c>
      <c r="W17" s="22" t="s">
        <v>1</v>
      </c>
      <c r="X17" s="23"/>
      <c r="Y17" s="22" t="s">
        <v>2</v>
      </c>
      <c r="Z17" s="23"/>
      <c r="AA17" s="22" t="s">
        <v>3</v>
      </c>
      <c r="AB17" s="23"/>
      <c r="AC17" s="20" t="s">
        <v>4</v>
      </c>
      <c r="AF17" s="20" t="s">
        <v>0</v>
      </c>
      <c r="AG17" s="22" t="s">
        <v>1</v>
      </c>
      <c r="AH17" s="23"/>
      <c r="AI17" s="22" t="s">
        <v>2</v>
      </c>
      <c r="AJ17" s="23"/>
      <c r="AK17" s="22" t="s">
        <v>3</v>
      </c>
      <c r="AL17" s="23"/>
      <c r="AM17" s="20" t="s">
        <v>4</v>
      </c>
    </row>
    <row r="18" spans="1:39" ht="21" customHeight="1" thickBot="1">
      <c r="B18" s="13"/>
      <c r="C18" s="1" t="s">
        <v>5</v>
      </c>
      <c r="D18" s="1" t="s">
        <v>6</v>
      </c>
      <c r="E18" s="1" t="s">
        <v>5</v>
      </c>
      <c r="F18" s="1" t="s">
        <v>6</v>
      </c>
      <c r="G18" s="1" t="s">
        <v>5</v>
      </c>
      <c r="H18" s="1" t="s">
        <v>6</v>
      </c>
      <c r="I18" s="13"/>
      <c r="L18" s="17"/>
      <c r="M18" s="1" t="s">
        <v>5</v>
      </c>
      <c r="N18" s="1" t="s">
        <v>6</v>
      </c>
      <c r="O18" s="1" t="s">
        <v>5</v>
      </c>
      <c r="P18" s="1" t="s">
        <v>6</v>
      </c>
      <c r="Q18" s="1" t="s">
        <v>5</v>
      </c>
      <c r="R18" s="1" t="s">
        <v>6</v>
      </c>
      <c r="S18" s="17"/>
      <c r="V18" s="21"/>
      <c r="W18" s="8" t="s">
        <v>5</v>
      </c>
      <c r="X18" s="8" t="s">
        <v>6</v>
      </c>
      <c r="Y18" s="8" t="s">
        <v>5</v>
      </c>
      <c r="Z18" s="8" t="s">
        <v>6</v>
      </c>
      <c r="AA18" s="8" t="s">
        <v>5</v>
      </c>
      <c r="AB18" s="8" t="s">
        <v>6</v>
      </c>
      <c r="AC18" s="21"/>
      <c r="AF18" s="21"/>
      <c r="AG18" s="8" t="s">
        <v>5</v>
      </c>
      <c r="AH18" s="8" t="s">
        <v>6</v>
      </c>
      <c r="AI18" s="8" t="s">
        <v>5</v>
      </c>
      <c r="AJ18" s="8" t="s">
        <v>6</v>
      </c>
      <c r="AK18" s="8" t="s">
        <v>5</v>
      </c>
      <c r="AL18" s="8" t="s">
        <v>6</v>
      </c>
      <c r="AM18" s="21"/>
    </row>
    <row r="19" spans="1:39" ht="24.6" thickBot="1">
      <c r="B19" s="2">
        <v>1</v>
      </c>
      <c r="C19" s="3">
        <v>248.48</v>
      </c>
      <c r="D19" s="3">
        <v>2.5</v>
      </c>
      <c r="E19" s="3">
        <v>310.60000000000002</v>
      </c>
      <c r="F19" s="3">
        <v>3.1</v>
      </c>
      <c r="G19" s="3">
        <v>837.2</v>
      </c>
      <c r="H19" s="3">
        <v>8.4</v>
      </c>
      <c r="I19" s="4">
        <v>30</v>
      </c>
      <c r="L19" s="2">
        <v>1</v>
      </c>
      <c r="M19" s="4">
        <v>108.96</v>
      </c>
      <c r="N19" s="6">
        <v>1.1000000000000001</v>
      </c>
      <c r="O19" s="5">
        <v>136.19999999999999</v>
      </c>
      <c r="P19" s="5">
        <v>1.4</v>
      </c>
      <c r="Q19" s="5">
        <v>608.79999999999995</v>
      </c>
      <c r="R19" s="5">
        <f>R29/5</f>
        <v>7.3</v>
      </c>
      <c r="S19" s="4">
        <v>30</v>
      </c>
      <c r="V19" s="9">
        <v>1</v>
      </c>
      <c r="W19" s="10">
        <v>200.20000000000002</v>
      </c>
      <c r="X19" s="10">
        <v>2.0020000000000002</v>
      </c>
      <c r="Y19" s="10">
        <v>219.45000000000002</v>
      </c>
      <c r="Z19" s="10">
        <v>2.1945000000000001</v>
      </c>
      <c r="AA19" s="10">
        <v>265.22122692725299</v>
      </c>
      <c r="AB19" s="10">
        <v>2.6522122692725301</v>
      </c>
      <c r="AC19" s="11">
        <v>30</v>
      </c>
      <c r="AF19" s="9">
        <v>1</v>
      </c>
      <c r="AG19" s="10">
        <v>200.20000000000002</v>
      </c>
      <c r="AH19" s="10">
        <v>2.0020000000000002</v>
      </c>
      <c r="AI19" s="10">
        <v>219.45000000000002</v>
      </c>
      <c r="AJ19" s="10">
        <v>2.1945000000000001</v>
      </c>
      <c r="AK19" s="10">
        <v>434.25555555555559</v>
      </c>
      <c r="AL19" s="10">
        <v>4.3425555555555562</v>
      </c>
      <c r="AM19" s="11">
        <v>30</v>
      </c>
    </row>
    <row r="20" spans="1:39" ht="24.6" thickBot="1">
      <c r="B20" s="2">
        <v>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4">
        <v>10</v>
      </c>
      <c r="L20" s="2">
        <v>2</v>
      </c>
      <c r="M20" s="5">
        <v>0</v>
      </c>
      <c r="N20" s="7" t="s">
        <v>7</v>
      </c>
      <c r="O20" s="5">
        <v>0</v>
      </c>
      <c r="P20" s="5">
        <v>0</v>
      </c>
      <c r="Q20" s="5">
        <v>0</v>
      </c>
      <c r="R20" s="5">
        <v>0</v>
      </c>
      <c r="S20" s="4">
        <v>10</v>
      </c>
      <c r="V20" s="9">
        <v>2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1">
        <v>10</v>
      </c>
      <c r="AF20" s="9">
        <v>2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1">
        <v>10</v>
      </c>
    </row>
    <row r="21" spans="1:39" ht="24.6" thickBot="1">
      <c r="B21" s="2">
        <v>3</v>
      </c>
      <c r="C21" s="3">
        <v>496.96</v>
      </c>
      <c r="D21" s="3">
        <v>5</v>
      </c>
      <c r="E21" s="3">
        <v>621.20000000000005</v>
      </c>
      <c r="F21" s="3">
        <v>6.2</v>
      </c>
      <c r="G21" s="3">
        <v>1674.4</v>
      </c>
      <c r="H21" s="3">
        <v>16.7</v>
      </c>
      <c r="I21" s="4">
        <v>30</v>
      </c>
      <c r="L21" s="2">
        <v>3</v>
      </c>
      <c r="M21" s="5">
        <v>217.92</v>
      </c>
      <c r="N21" s="7">
        <v>2.2000000000000002</v>
      </c>
      <c r="O21" s="5">
        <v>272.39999999999998</v>
      </c>
      <c r="P21" s="5">
        <v>2.7</v>
      </c>
      <c r="Q21" s="5">
        <v>1217.5999999999999</v>
      </c>
      <c r="R21" s="5">
        <f>R29/5+R19</f>
        <v>14.6</v>
      </c>
      <c r="S21" s="4">
        <v>30</v>
      </c>
      <c r="V21" s="9">
        <v>3</v>
      </c>
      <c r="W21" s="10">
        <v>400.40000000000003</v>
      </c>
      <c r="X21" s="10">
        <v>4.0040000000000004</v>
      </c>
      <c r="Y21" s="10">
        <v>438.90000000000003</v>
      </c>
      <c r="Z21" s="10">
        <v>4.3890000000000002</v>
      </c>
      <c r="AA21" s="10">
        <v>530.44245385450597</v>
      </c>
      <c r="AB21" s="10">
        <v>5.3044245385450601</v>
      </c>
      <c r="AC21" s="11">
        <v>30</v>
      </c>
      <c r="AF21" s="9">
        <v>3</v>
      </c>
      <c r="AG21" s="10">
        <v>400.40000000000003</v>
      </c>
      <c r="AH21" s="10">
        <v>4.0040000000000004</v>
      </c>
      <c r="AI21" s="10">
        <v>438.90000000000003</v>
      </c>
      <c r="AJ21" s="10">
        <v>4.3890000000000002</v>
      </c>
      <c r="AK21" s="10">
        <v>868.51111111111118</v>
      </c>
      <c r="AL21" s="10">
        <v>8.6851111111111123</v>
      </c>
      <c r="AM21" s="11">
        <v>30</v>
      </c>
    </row>
    <row r="22" spans="1:39" ht="24.6" thickBot="1">
      <c r="B22" s="2">
        <v>4</v>
      </c>
      <c r="C22" s="3">
        <v>0</v>
      </c>
      <c r="D22" s="3" t="s">
        <v>7</v>
      </c>
      <c r="E22" s="3">
        <v>0</v>
      </c>
      <c r="F22" s="3">
        <v>0</v>
      </c>
      <c r="G22" s="3">
        <v>0</v>
      </c>
      <c r="H22" s="3" t="s">
        <v>7</v>
      </c>
      <c r="I22" s="4">
        <v>10</v>
      </c>
      <c r="L22" s="2">
        <v>4</v>
      </c>
      <c r="M22" s="5">
        <v>0</v>
      </c>
      <c r="N22" s="7" t="s">
        <v>7</v>
      </c>
      <c r="O22" s="5">
        <v>0</v>
      </c>
      <c r="P22" s="5">
        <v>0</v>
      </c>
      <c r="Q22" s="5">
        <v>0</v>
      </c>
      <c r="R22" s="5" t="s">
        <v>7</v>
      </c>
      <c r="S22" s="4">
        <v>10</v>
      </c>
      <c r="V22" s="9">
        <v>4</v>
      </c>
      <c r="W22" s="10">
        <v>0</v>
      </c>
      <c r="X22" s="10" t="s">
        <v>11</v>
      </c>
      <c r="Y22" s="10">
        <v>0</v>
      </c>
      <c r="Z22" s="10">
        <v>0</v>
      </c>
      <c r="AA22" s="10">
        <v>0</v>
      </c>
      <c r="AB22" s="10" t="s">
        <v>11</v>
      </c>
      <c r="AC22" s="11">
        <v>10</v>
      </c>
      <c r="AF22" s="9">
        <v>4</v>
      </c>
      <c r="AG22" s="10">
        <v>0</v>
      </c>
      <c r="AH22" s="10" t="s">
        <v>11</v>
      </c>
      <c r="AI22" s="10">
        <v>0</v>
      </c>
      <c r="AJ22" s="10">
        <v>0</v>
      </c>
      <c r="AK22" s="10">
        <v>0</v>
      </c>
      <c r="AL22" s="10" t="s">
        <v>11</v>
      </c>
      <c r="AM22" s="11">
        <v>10</v>
      </c>
    </row>
    <row r="23" spans="1:39" ht="24.6" thickBot="1">
      <c r="B23" s="2">
        <v>5</v>
      </c>
      <c r="C23" s="3">
        <v>745.44</v>
      </c>
      <c r="D23" s="3">
        <v>7.5</v>
      </c>
      <c r="E23" s="3">
        <v>931.8</v>
      </c>
      <c r="F23" s="3">
        <v>9.3000000000000007</v>
      </c>
      <c r="G23" s="3">
        <v>2511.6</v>
      </c>
      <c r="H23" s="3">
        <v>25.1</v>
      </c>
      <c r="I23" s="4">
        <v>30</v>
      </c>
      <c r="L23" s="2">
        <v>5</v>
      </c>
      <c r="M23" s="5">
        <v>326.88</v>
      </c>
      <c r="N23" s="7">
        <v>3.3</v>
      </c>
      <c r="O23" s="5">
        <v>408.6</v>
      </c>
      <c r="P23" s="5">
        <v>4.0999999999999996</v>
      </c>
      <c r="Q23" s="5">
        <v>1826.4</v>
      </c>
      <c r="R23" s="5">
        <f>R29/5+R21</f>
        <v>21.9</v>
      </c>
      <c r="S23" s="4">
        <v>30</v>
      </c>
      <c r="V23" s="9">
        <v>5</v>
      </c>
      <c r="W23" s="10">
        <v>600.6</v>
      </c>
      <c r="X23" s="10">
        <v>6.0060000000000002</v>
      </c>
      <c r="Y23" s="10">
        <v>658.35000000000014</v>
      </c>
      <c r="Z23" s="10">
        <v>6.5835000000000008</v>
      </c>
      <c r="AA23" s="10">
        <v>795.66368078175901</v>
      </c>
      <c r="AB23" s="10">
        <v>7.9566368078175902</v>
      </c>
      <c r="AC23" s="11">
        <v>30</v>
      </c>
      <c r="AF23" s="9">
        <v>5</v>
      </c>
      <c r="AG23" s="10">
        <v>600.6</v>
      </c>
      <c r="AH23" s="10">
        <v>6.0060000000000002</v>
      </c>
      <c r="AI23" s="10">
        <v>658.35000000000014</v>
      </c>
      <c r="AJ23" s="10">
        <v>6.5835000000000008</v>
      </c>
      <c r="AK23" s="10">
        <v>1302.7666666666669</v>
      </c>
      <c r="AL23" s="10">
        <v>13.027666666666669</v>
      </c>
      <c r="AM23" s="11">
        <v>30</v>
      </c>
    </row>
    <row r="24" spans="1:39" ht="24.6" thickBot="1">
      <c r="B24" s="2">
        <v>6</v>
      </c>
      <c r="C24" s="3">
        <v>0</v>
      </c>
      <c r="D24" s="3">
        <v>0</v>
      </c>
      <c r="E24" s="3">
        <v>0</v>
      </c>
      <c r="F24" s="3" t="s">
        <v>7</v>
      </c>
      <c r="G24" s="3">
        <v>0</v>
      </c>
      <c r="H24" s="3">
        <v>0</v>
      </c>
      <c r="I24" s="4">
        <v>10</v>
      </c>
      <c r="L24" s="2">
        <v>6</v>
      </c>
      <c r="M24" s="5">
        <v>0</v>
      </c>
      <c r="N24" s="7">
        <v>0</v>
      </c>
      <c r="O24" s="5">
        <v>0</v>
      </c>
      <c r="P24" s="5" t="s">
        <v>7</v>
      </c>
      <c r="Q24" s="5">
        <v>0</v>
      </c>
      <c r="R24" s="5">
        <v>0</v>
      </c>
      <c r="S24" s="4">
        <v>10</v>
      </c>
      <c r="V24" s="9">
        <v>6</v>
      </c>
      <c r="W24" s="10">
        <v>0</v>
      </c>
      <c r="X24" s="10">
        <v>0</v>
      </c>
      <c r="Y24" s="10">
        <v>0</v>
      </c>
      <c r="Z24" s="10" t="s">
        <v>11</v>
      </c>
      <c r="AA24" s="10">
        <v>0</v>
      </c>
      <c r="AB24" s="10">
        <v>0</v>
      </c>
      <c r="AC24" s="11">
        <v>10</v>
      </c>
      <c r="AF24" s="9">
        <v>6</v>
      </c>
      <c r="AG24" s="10">
        <v>0</v>
      </c>
      <c r="AH24" s="10">
        <v>0</v>
      </c>
      <c r="AI24" s="10">
        <v>0</v>
      </c>
      <c r="AJ24" s="10" t="s">
        <v>11</v>
      </c>
      <c r="AK24" s="10">
        <v>0</v>
      </c>
      <c r="AL24" s="10">
        <v>0</v>
      </c>
      <c r="AM24" s="11">
        <v>10</v>
      </c>
    </row>
    <row r="25" spans="1:39" ht="24.6" thickBot="1">
      <c r="B25" s="2">
        <v>7</v>
      </c>
      <c r="C25" s="3">
        <v>993.92</v>
      </c>
      <c r="D25" s="3">
        <v>9.9</v>
      </c>
      <c r="E25" s="3">
        <v>1242.4000000000001</v>
      </c>
      <c r="F25" s="3">
        <v>12.4</v>
      </c>
      <c r="G25" s="3">
        <v>3348.8</v>
      </c>
      <c r="H25" s="3">
        <v>33.5</v>
      </c>
      <c r="I25" s="4">
        <v>30</v>
      </c>
      <c r="L25" s="2">
        <v>7</v>
      </c>
      <c r="M25" s="5">
        <v>435.84</v>
      </c>
      <c r="N25" s="7">
        <v>4.4000000000000004</v>
      </c>
      <c r="O25" s="5">
        <v>544.79999999999995</v>
      </c>
      <c r="P25" s="5">
        <v>5.4</v>
      </c>
      <c r="Q25" s="5">
        <v>2435.1999999999998</v>
      </c>
      <c r="R25" s="5">
        <f>R29/5+R23</f>
        <v>29.2</v>
      </c>
      <c r="S25" s="4">
        <v>30</v>
      </c>
      <c r="V25" s="9">
        <v>7</v>
      </c>
      <c r="W25" s="10">
        <v>800.80000000000007</v>
      </c>
      <c r="X25" s="10">
        <v>8.0080000000000009</v>
      </c>
      <c r="Y25" s="10">
        <v>877.80000000000007</v>
      </c>
      <c r="Z25" s="10">
        <v>8.7780000000000005</v>
      </c>
      <c r="AA25" s="10">
        <v>1060.8849077090119</v>
      </c>
      <c r="AB25" s="10">
        <v>10.60884907709012</v>
      </c>
      <c r="AC25" s="11">
        <v>30</v>
      </c>
      <c r="AF25" s="9">
        <v>7</v>
      </c>
      <c r="AG25" s="10">
        <v>800.80000000000007</v>
      </c>
      <c r="AH25" s="10">
        <v>8.0080000000000009</v>
      </c>
      <c r="AI25" s="10">
        <v>877.80000000000007</v>
      </c>
      <c r="AJ25" s="10">
        <v>8.7780000000000005</v>
      </c>
      <c r="AK25" s="10">
        <v>1737.0222222222224</v>
      </c>
      <c r="AL25" s="10">
        <v>17.370222222222225</v>
      </c>
      <c r="AM25" s="11">
        <v>30</v>
      </c>
    </row>
    <row r="26" spans="1:39" ht="24.6" thickBot="1">
      <c r="B26" s="2">
        <v>8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4">
        <v>10</v>
      </c>
      <c r="L26" s="2">
        <v>8</v>
      </c>
      <c r="M26" s="5">
        <v>0</v>
      </c>
      <c r="N26" s="7">
        <v>0</v>
      </c>
      <c r="O26" s="5">
        <v>0</v>
      </c>
      <c r="P26" s="5">
        <v>0</v>
      </c>
      <c r="Q26" s="5">
        <v>0</v>
      </c>
      <c r="R26" s="5">
        <v>0</v>
      </c>
      <c r="S26" s="4">
        <v>10</v>
      </c>
      <c r="V26" s="9">
        <v>8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1">
        <v>10</v>
      </c>
      <c r="AF26" s="9">
        <v>8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1">
        <v>10</v>
      </c>
    </row>
    <row r="27" spans="1:39" ht="24.6" thickBot="1">
      <c r="B27" s="2">
        <v>9</v>
      </c>
      <c r="C27" s="3">
        <v>1242.4000000000001</v>
      </c>
      <c r="D27" s="3">
        <v>12.4</v>
      </c>
      <c r="E27" s="3">
        <v>1553</v>
      </c>
      <c r="F27" s="3">
        <v>15.5</v>
      </c>
      <c r="G27" s="3">
        <v>4186</v>
      </c>
      <c r="H27" s="3">
        <v>41.9</v>
      </c>
      <c r="I27" s="4">
        <v>30</v>
      </c>
      <c r="L27" s="2">
        <v>9</v>
      </c>
      <c r="M27" s="5">
        <v>544.79999999999995</v>
      </c>
      <c r="N27" s="7">
        <v>5.4</v>
      </c>
      <c r="O27" s="5">
        <v>681</v>
      </c>
      <c r="P27" s="5">
        <v>6.8</v>
      </c>
      <c r="Q27" s="5">
        <v>3044</v>
      </c>
      <c r="R27" s="5">
        <v>30.4</v>
      </c>
      <c r="S27" s="4">
        <v>30</v>
      </c>
      <c r="V27" s="9">
        <v>9</v>
      </c>
      <c r="W27" s="10">
        <v>1001.0000000000001</v>
      </c>
      <c r="X27" s="10">
        <v>10.010000000000002</v>
      </c>
      <c r="Y27" s="10">
        <v>1097.25</v>
      </c>
      <c r="Z27" s="10">
        <v>10.9725</v>
      </c>
      <c r="AA27" s="10">
        <v>1326.1061346362651</v>
      </c>
      <c r="AB27" s="10">
        <v>13.26106134636265</v>
      </c>
      <c r="AC27" s="11">
        <v>30</v>
      </c>
      <c r="AF27" s="9">
        <v>9</v>
      </c>
      <c r="AG27" s="10">
        <v>1001.0000000000001</v>
      </c>
      <c r="AH27" s="10">
        <v>10.010000000000002</v>
      </c>
      <c r="AI27" s="10">
        <v>1097.25</v>
      </c>
      <c r="AJ27" s="10">
        <v>10.9725</v>
      </c>
      <c r="AK27" s="10">
        <v>2171.2777777777783</v>
      </c>
      <c r="AL27" s="10">
        <v>21.712777777777781</v>
      </c>
      <c r="AM27" s="11">
        <v>30</v>
      </c>
    </row>
    <row r="28" spans="1:39" ht="24.6" thickBot="1">
      <c r="A28" t="s">
        <v>10</v>
      </c>
      <c r="L28" s="2">
        <v>10</v>
      </c>
      <c r="M28" s="5">
        <v>0</v>
      </c>
      <c r="N28" s="7">
        <v>0</v>
      </c>
      <c r="O28" s="5">
        <v>0</v>
      </c>
      <c r="P28" s="5">
        <v>0</v>
      </c>
      <c r="Q28" s="5">
        <v>0</v>
      </c>
      <c r="R28" s="5">
        <v>0</v>
      </c>
      <c r="S28" s="4">
        <v>10</v>
      </c>
      <c r="V28" s="9">
        <v>10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1">
        <v>10</v>
      </c>
      <c r="AF28" s="9">
        <v>10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1">
        <v>10</v>
      </c>
    </row>
    <row r="29" spans="1:39" ht="40.200000000000003" customHeight="1" thickBot="1">
      <c r="L29" s="2">
        <v>11</v>
      </c>
      <c r="M29" s="5">
        <v>653.76</v>
      </c>
      <c r="N29" s="7">
        <v>6.5</v>
      </c>
      <c r="O29" s="5">
        <v>817.2</v>
      </c>
      <c r="P29" s="5">
        <v>8.1999999999999993</v>
      </c>
      <c r="Q29" s="5">
        <v>3652.8</v>
      </c>
      <c r="R29" s="5">
        <v>36.5</v>
      </c>
      <c r="S29" s="4">
        <v>30</v>
      </c>
      <c r="V29" s="9">
        <v>11</v>
      </c>
      <c r="W29" s="10">
        <v>1201.2</v>
      </c>
      <c r="X29" s="10">
        <v>12.012</v>
      </c>
      <c r="Y29" s="10">
        <v>1316.7000000000003</v>
      </c>
      <c r="Z29" s="10">
        <v>13.167000000000002</v>
      </c>
      <c r="AA29" s="10">
        <v>1591.327361563518</v>
      </c>
      <c r="AB29" s="10">
        <v>15.91327361563518</v>
      </c>
      <c r="AC29" s="11">
        <v>30</v>
      </c>
      <c r="AF29" s="9">
        <v>11</v>
      </c>
      <c r="AG29" s="10">
        <v>1201.2</v>
      </c>
      <c r="AH29" s="10">
        <v>12.012</v>
      </c>
      <c r="AI29" s="10">
        <v>1316.7000000000003</v>
      </c>
      <c r="AJ29" s="10">
        <v>13.167000000000002</v>
      </c>
      <c r="AK29" s="10">
        <v>2605.5333333333338</v>
      </c>
      <c r="AL29" s="10">
        <v>26.055333333333337</v>
      </c>
      <c r="AM29" s="11">
        <v>30</v>
      </c>
    </row>
    <row r="30" spans="1:39" ht="15" thickBot="1"/>
    <row r="31" spans="1:39" ht="82.2" thickBot="1">
      <c r="B31" s="12" t="s">
        <v>0</v>
      </c>
      <c r="C31" s="14" t="s">
        <v>1</v>
      </c>
      <c r="D31" s="15"/>
      <c r="E31" s="14" t="s">
        <v>2</v>
      </c>
      <c r="F31" s="15"/>
      <c r="G31" s="14" t="s">
        <v>3</v>
      </c>
      <c r="H31" s="15"/>
      <c r="I31" s="12" t="s">
        <v>4</v>
      </c>
    </row>
    <row r="32" spans="1:39" ht="21" thickBot="1">
      <c r="B32" s="13"/>
      <c r="C32" s="1" t="s">
        <v>5</v>
      </c>
      <c r="D32" s="1" t="s">
        <v>6</v>
      </c>
      <c r="E32" s="1" t="s">
        <v>5</v>
      </c>
      <c r="F32" s="1" t="s">
        <v>6</v>
      </c>
      <c r="G32" s="1" t="s">
        <v>5</v>
      </c>
      <c r="H32" s="1" t="s">
        <v>6</v>
      </c>
      <c r="I32" s="13"/>
      <c r="AB32" s="24" t="s">
        <v>15</v>
      </c>
      <c r="AC32" s="24"/>
    </row>
    <row r="33" spans="1:29" ht="21" thickBot="1">
      <c r="B33" s="2">
        <v>1</v>
      </c>
      <c r="C33" s="3">
        <v>248.48</v>
      </c>
      <c r="D33" s="3">
        <v>2.5</v>
      </c>
      <c r="E33" s="3">
        <v>310.60000000000002</v>
      </c>
      <c r="F33" s="3">
        <v>3.1</v>
      </c>
      <c r="G33" s="3">
        <v>608.79999999999995</v>
      </c>
      <c r="H33" s="3">
        <v>7.3</v>
      </c>
      <c r="I33" s="4">
        <v>30</v>
      </c>
      <c r="Y33" t="s">
        <v>13</v>
      </c>
      <c r="Z33">
        <v>1.5</v>
      </c>
      <c r="AC33">
        <v>2.5</v>
      </c>
    </row>
    <row r="34" spans="1:29" ht="21" thickBot="1">
      <c r="B34" s="2">
        <v>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4">
        <v>10</v>
      </c>
      <c r="Y34">
        <v>22.7</v>
      </c>
      <c r="Z34">
        <f>Y34*Z33</f>
        <v>34.049999999999997</v>
      </c>
      <c r="AB34">
        <v>38.4</v>
      </c>
      <c r="AC34">
        <f>AB34/AC33</f>
        <v>15.36</v>
      </c>
    </row>
    <row r="35" spans="1:29" ht="21" thickBot="1">
      <c r="B35" s="2">
        <v>3</v>
      </c>
      <c r="C35" s="3">
        <v>496.96</v>
      </c>
      <c r="D35" s="3">
        <v>5</v>
      </c>
      <c r="E35" s="3">
        <v>621.20000000000005</v>
      </c>
      <c r="F35" s="3">
        <v>6.2</v>
      </c>
      <c r="G35" s="3">
        <v>1217.5999999999999</v>
      </c>
      <c r="H35" s="3">
        <v>14.6</v>
      </c>
      <c r="I35" s="4">
        <v>30</v>
      </c>
    </row>
    <row r="36" spans="1:29" ht="21" thickBot="1">
      <c r="B36" s="2">
        <v>4</v>
      </c>
      <c r="C36" s="3">
        <v>0</v>
      </c>
      <c r="D36" s="3" t="s">
        <v>7</v>
      </c>
      <c r="E36" s="3">
        <v>0</v>
      </c>
      <c r="F36" s="3">
        <v>0</v>
      </c>
      <c r="G36" s="3">
        <v>0</v>
      </c>
      <c r="H36" s="3">
        <v>0</v>
      </c>
      <c r="I36" s="4">
        <v>10</v>
      </c>
      <c r="AA36" t="s">
        <v>14</v>
      </c>
    </row>
    <row r="37" spans="1:29" ht="21" thickBot="1">
      <c r="B37" s="2">
        <v>5</v>
      </c>
      <c r="C37" s="3">
        <v>745.44</v>
      </c>
      <c r="D37" s="3">
        <v>7.5</v>
      </c>
      <c r="E37" s="3">
        <v>931.8</v>
      </c>
      <c r="F37" s="3">
        <v>9.3000000000000007</v>
      </c>
      <c r="G37" s="3">
        <v>1826.4</v>
      </c>
      <c r="H37" s="3">
        <v>21.9</v>
      </c>
      <c r="I37" s="4">
        <v>30</v>
      </c>
    </row>
    <row r="38" spans="1:29" ht="21" thickBot="1">
      <c r="B38" s="2">
        <v>6</v>
      </c>
      <c r="C38" s="3">
        <v>0</v>
      </c>
      <c r="D38" s="3">
        <v>0</v>
      </c>
      <c r="E38" s="3">
        <v>0</v>
      </c>
      <c r="F38" s="3" t="s">
        <v>7</v>
      </c>
      <c r="G38" s="3">
        <v>0</v>
      </c>
      <c r="H38" s="3">
        <v>0</v>
      </c>
      <c r="I38" s="4">
        <v>10</v>
      </c>
    </row>
    <row r="39" spans="1:29" ht="21" thickBot="1">
      <c r="B39" s="2">
        <v>7</v>
      </c>
      <c r="C39" s="3">
        <v>993.92</v>
      </c>
      <c r="D39" s="3">
        <v>9.9</v>
      </c>
      <c r="E39" s="3">
        <v>1242.4000000000001</v>
      </c>
      <c r="F39" s="3">
        <v>12.4</v>
      </c>
      <c r="G39" s="3">
        <v>2435.1999999999998</v>
      </c>
      <c r="H39" s="3">
        <v>29.2</v>
      </c>
      <c r="I39" s="4">
        <v>30</v>
      </c>
    </row>
    <row r="40" spans="1:29" ht="21" thickBot="1">
      <c r="B40" s="2">
        <v>8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4">
        <v>0</v>
      </c>
      <c r="I40" s="4">
        <v>10</v>
      </c>
    </row>
    <row r="41" spans="1:29" ht="21" thickBot="1">
      <c r="A41" t="s">
        <v>9</v>
      </c>
      <c r="B41" s="2">
        <v>9</v>
      </c>
      <c r="C41" s="3">
        <v>1242.4000000000001</v>
      </c>
      <c r="D41" s="3">
        <v>12.4</v>
      </c>
      <c r="E41" s="3">
        <v>1553</v>
      </c>
      <c r="F41" s="3">
        <v>15.5</v>
      </c>
      <c r="G41" s="4">
        <v>3653</v>
      </c>
      <c r="H41" s="4">
        <v>36.5</v>
      </c>
      <c r="I41" s="4">
        <v>30</v>
      </c>
    </row>
    <row r="42" spans="1:29" ht="40.200000000000003" customHeight="1"/>
    <row r="43" spans="1:29" ht="15" thickBot="1"/>
    <row r="44" spans="1:29" ht="82.2" thickBot="1">
      <c r="B44" s="12" t="s">
        <v>0</v>
      </c>
      <c r="C44" s="14" t="s">
        <v>1</v>
      </c>
      <c r="D44" s="15"/>
      <c r="E44" s="14" t="s">
        <v>2</v>
      </c>
      <c r="F44" s="15"/>
      <c r="G44" s="14" t="s">
        <v>3</v>
      </c>
      <c r="H44" s="15"/>
      <c r="I44" s="12" t="s">
        <v>4</v>
      </c>
    </row>
    <row r="45" spans="1:29" ht="21" thickBot="1">
      <c r="B45" s="13"/>
      <c r="C45" s="1" t="s">
        <v>5</v>
      </c>
      <c r="D45" s="1" t="s">
        <v>6</v>
      </c>
      <c r="E45" s="1" t="s">
        <v>5</v>
      </c>
      <c r="F45" s="1" t="s">
        <v>6</v>
      </c>
      <c r="G45" s="1" t="s">
        <v>5</v>
      </c>
      <c r="H45" s="1" t="s">
        <v>6</v>
      </c>
      <c r="I45" s="13"/>
    </row>
    <row r="46" spans="1:29" ht="21" thickBot="1">
      <c r="B46" s="2">
        <v>1</v>
      </c>
      <c r="C46" s="3">
        <v>248.3</v>
      </c>
      <c r="D46" s="3">
        <v>2.5</v>
      </c>
      <c r="E46" s="3">
        <v>310.39999999999998</v>
      </c>
      <c r="F46" s="3">
        <v>3.1</v>
      </c>
      <c r="G46" s="3">
        <v>568.4</v>
      </c>
      <c r="H46" s="3">
        <v>5.6</v>
      </c>
      <c r="I46" s="4">
        <v>30</v>
      </c>
    </row>
    <row r="47" spans="1:29" ht="21" thickBot="1">
      <c r="B47" s="2">
        <v>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4">
        <v>10</v>
      </c>
    </row>
    <row r="48" spans="1:29" ht="21" thickBot="1">
      <c r="B48" s="2">
        <v>3</v>
      </c>
      <c r="C48" s="3">
        <v>496.6</v>
      </c>
      <c r="D48" s="3">
        <v>5</v>
      </c>
      <c r="E48" s="3">
        <v>620.79999999999995</v>
      </c>
      <c r="F48" s="3">
        <v>6.2</v>
      </c>
      <c r="G48" s="3">
        <v>1136.8</v>
      </c>
      <c r="H48" s="3">
        <v>11.3</v>
      </c>
      <c r="I48" s="4">
        <v>30</v>
      </c>
    </row>
    <row r="49" spans="2:9" ht="21" thickBot="1">
      <c r="B49" s="2">
        <v>4</v>
      </c>
      <c r="C49" s="3">
        <v>0</v>
      </c>
      <c r="D49" s="3" t="s">
        <v>7</v>
      </c>
      <c r="E49" s="3">
        <v>0</v>
      </c>
      <c r="F49" s="3">
        <v>0</v>
      </c>
      <c r="G49" s="3">
        <v>0</v>
      </c>
      <c r="H49" s="3" t="s">
        <v>7</v>
      </c>
      <c r="I49" s="4">
        <v>10</v>
      </c>
    </row>
    <row r="50" spans="2:9" ht="21" thickBot="1">
      <c r="B50" s="2">
        <v>5</v>
      </c>
      <c r="C50" s="3">
        <v>744.9</v>
      </c>
      <c r="D50" s="3">
        <v>7.4</v>
      </c>
      <c r="E50" s="3">
        <v>931.2</v>
      </c>
      <c r="F50" s="3">
        <v>9.3000000000000007</v>
      </c>
      <c r="G50" s="3">
        <v>1705.2</v>
      </c>
      <c r="H50" s="3">
        <v>17</v>
      </c>
      <c r="I50" s="4">
        <v>30</v>
      </c>
    </row>
    <row r="51" spans="2:9" ht="21" thickBot="1">
      <c r="B51" s="2">
        <v>6</v>
      </c>
      <c r="C51" s="3">
        <v>0</v>
      </c>
      <c r="D51" s="3">
        <v>0</v>
      </c>
      <c r="E51" s="3">
        <v>0</v>
      </c>
      <c r="F51" s="3" t="s">
        <v>7</v>
      </c>
      <c r="G51" s="3">
        <v>0</v>
      </c>
      <c r="H51" s="3">
        <v>0</v>
      </c>
      <c r="I51" s="4">
        <v>10</v>
      </c>
    </row>
    <row r="52" spans="2:9" ht="21" thickBot="1">
      <c r="B52" s="2">
        <v>7</v>
      </c>
      <c r="C52" s="3">
        <v>993.3</v>
      </c>
      <c r="D52" s="3">
        <v>9.9</v>
      </c>
      <c r="E52" s="3">
        <v>1241.5999999999999</v>
      </c>
      <c r="F52" s="3">
        <v>12.4</v>
      </c>
      <c r="G52" s="3">
        <v>2273.6</v>
      </c>
      <c r="H52" s="3">
        <v>22.7</v>
      </c>
      <c r="I52" s="4">
        <v>30</v>
      </c>
    </row>
    <row r="53" spans="2:9" ht="21" thickBot="1">
      <c r="B53" s="2">
        <v>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4">
        <v>10</v>
      </c>
    </row>
    <row r="54" spans="2:9" ht="21" thickBot="1">
      <c r="B54" s="2">
        <v>9</v>
      </c>
      <c r="C54" s="3">
        <v>1241.5999999999999</v>
      </c>
      <c r="D54" s="3">
        <v>12.4</v>
      </c>
      <c r="E54" s="3">
        <v>1552</v>
      </c>
      <c r="F54" s="3">
        <v>15.5</v>
      </c>
      <c r="G54" s="3">
        <v>2842</v>
      </c>
      <c r="H54" s="3">
        <v>28.4</v>
      </c>
      <c r="I54" s="4">
        <v>30</v>
      </c>
    </row>
  </sheetData>
  <mergeCells count="39">
    <mergeCell ref="AB32:AC32"/>
    <mergeCell ref="C17:D17"/>
    <mergeCell ref="E17:F17"/>
    <mergeCell ref="G17:H17"/>
    <mergeCell ref="AF3:AF4"/>
    <mergeCell ref="AG3:AH3"/>
    <mergeCell ref="AI3:AJ3"/>
    <mergeCell ref="AK3:AL3"/>
    <mergeCell ref="AM3:AM4"/>
    <mergeCell ref="AF17:AF18"/>
    <mergeCell ref="AG17:AH17"/>
    <mergeCell ref="AI17:AJ17"/>
    <mergeCell ref="AK17:AL17"/>
    <mergeCell ref="AM17:AM18"/>
    <mergeCell ref="V17:V18"/>
    <mergeCell ref="W17:X17"/>
    <mergeCell ref="Y17:Z17"/>
    <mergeCell ref="AA17:AB17"/>
    <mergeCell ref="AC17:AC18"/>
    <mergeCell ref="V3:V4"/>
    <mergeCell ref="W3:X3"/>
    <mergeCell ref="Y3:Z3"/>
    <mergeCell ref="AA3:AB3"/>
    <mergeCell ref="AC3:AC4"/>
    <mergeCell ref="L3:L4"/>
    <mergeCell ref="M3:N3"/>
    <mergeCell ref="O3:P3"/>
    <mergeCell ref="Q3:R3"/>
    <mergeCell ref="S3:S4"/>
    <mergeCell ref="L17:L18"/>
    <mergeCell ref="M17:N17"/>
    <mergeCell ref="O17:P17"/>
    <mergeCell ref="Q17:R17"/>
    <mergeCell ref="S17:S18"/>
    <mergeCell ref="B3:B4"/>
    <mergeCell ref="C3:D3"/>
    <mergeCell ref="E3:F3"/>
    <mergeCell ref="G3:H3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 Torres Josa</dc:creator>
  <cp:lastModifiedBy>juan pablo cadavid hoyos</cp:lastModifiedBy>
  <dcterms:created xsi:type="dcterms:W3CDTF">2026-02-10T14:45:42Z</dcterms:created>
  <dcterms:modified xsi:type="dcterms:W3CDTF">2026-03-06T22:49:24Z</dcterms:modified>
</cp:coreProperties>
</file>