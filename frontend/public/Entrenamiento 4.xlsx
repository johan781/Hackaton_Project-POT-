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65fc3e56a62949/Desktop/La wea/frontend/public/"/>
    </mc:Choice>
  </mc:AlternateContent>
  <xr:revisionPtr revIDLastSave="0" documentId="13_ncr:1_{9DF95520-D763-4FF5-9BA1-26A087D860C9}" xr6:coauthVersionLast="47" xr6:coauthVersionMax="47" xr10:uidLastSave="{00000000-0000-0000-0000-000000000000}"/>
  <bookViews>
    <workbookView xWindow="11424" yWindow="0" windowWidth="11712" windowHeight="12336" activeTab="2" xr2:uid="{ABF4ECDB-49B5-4CAD-94D7-D6468FD7EE27}"/>
  </bookViews>
  <sheets>
    <sheet name="Pull out test IPE 160" sheetId="1" r:id="rId1"/>
    <sheet name="Interpolación para W8X10" sheetId="3" r:id="rId2"/>
    <sheet name="Interpolación para W8X15" sheetId="4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0" i="4" l="1"/>
  <c r="AS21" i="4"/>
  <c r="AS22" i="4"/>
  <c r="AS23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9" i="4"/>
  <c r="D50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9" i="4"/>
  <c r="AT10" i="3"/>
  <c r="AS9" i="4"/>
  <c r="AS10" i="4"/>
  <c r="AS11" i="4"/>
  <c r="AS12" i="4"/>
  <c r="AS13" i="4"/>
  <c r="AS14" i="4"/>
  <c r="AS15" i="4"/>
  <c r="AS16" i="4"/>
  <c r="AS17" i="4"/>
  <c r="AS18" i="4"/>
  <c r="AS1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9" i="4"/>
  <c r="D14" i="4"/>
  <c r="D15" i="4"/>
  <c r="D16" i="4"/>
  <c r="D17" i="4"/>
  <c r="D18" i="4"/>
  <c r="E4" i="3"/>
  <c r="E5" i="3" s="1"/>
  <c r="L51" i="3" s="1"/>
  <c r="AV70" i="3"/>
  <c r="AV71" i="3"/>
  <c r="AV25" i="3"/>
  <c r="K31" i="3"/>
  <c r="K32" i="3"/>
  <c r="K33" i="3"/>
  <c r="K34" i="3"/>
  <c r="K30" i="3"/>
  <c r="T47" i="3"/>
  <c r="T48" i="3"/>
  <c r="T49" i="3"/>
  <c r="T50" i="3"/>
  <c r="T51" i="3"/>
  <c r="T52" i="3"/>
  <c r="T53" i="3"/>
  <c r="T54" i="3"/>
  <c r="T46" i="3"/>
  <c r="T31" i="3"/>
  <c r="T32" i="3"/>
  <c r="T30" i="3"/>
  <c r="T13" i="3"/>
  <c r="T14" i="3"/>
  <c r="T15" i="3"/>
  <c r="T16" i="3"/>
  <c r="T17" i="3"/>
  <c r="T18" i="3"/>
  <c r="T12" i="3"/>
  <c r="K14" i="3"/>
  <c r="K15" i="3"/>
  <c r="K16" i="3"/>
  <c r="K17" i="3"/>
  <c r="K18" i="3"/>
  <c r="K19" i="3"/>
  <c r="K20" i="3"/>
  <c r="K21" i="3"/>
  <c r="K22" i="3"/>
  <c r="K13" i="3"/>
  <c r="C46" i="3"/>
  <c r="C47" i="3"/>
  <c r="C48" i="3"/>
  <c r="C49" i="3"/>
  <c r="C50" i="3"/>
  <c r="C51" i="3"/>
  <c r="C45" i="3"/>
  <c r="C31" i="3"/>
  <c r="C32" i="3"/>
  <c r="C30" i="3"/>
  <c r="C14" i="3"/>
  <c r="C15" i="3"/>
  <c r="C16" i="3"/>
  <c r="C17" i="3"/>
  <c r="C18" i="3"/>
  <c r="C13" i="3"/>
  <c r="AN18" i="3"/>
  <c r="AP18" i="3" s="1"/>
  <c r="AP11" i="3"/>
  <c r="AP12" i="3"/>
  <c r="AP13" i="3"/>
  <c r="AP14" i="3"/>
  <c r="AP15" i="3"/>
  <c r="AP16" i="3"/>
  <c r="AP17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0" i="3"/>
  <c r="AN11" i="3"/>
  <c r="AN12" i="3"/>
  <c r="AN13" i="3"/>
  <c r="AN14" i="3"/>
  <c r="AN15" i="3"/>
  <c r="AN16" i="3"/>
  <c r="AN17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4" i="3"/>
  <c r="AN155" i="3"/>
  <c r="AN156" i="3"/>
  <c r="AN157" i="3"/>
  <c r="AN158" i="3"/>
  <c r="AN159" i="3"/>
  <c r="AN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0" i="3"/>
  <c r="AR11" i="3"/>
  <c r="AV11" i="3" s="1"/>
  <c r="AR12" i="3"/>
  <c r="AV12" i="3" s="1"/>
  <c r="AR13" i="3"/>
  <c r="AV13" i="3" s="1"/>
  <c r="AR14" i="3"/>
  <c r="AV14" i="3" s="1"/>
  <c r="AR15" i="3"/>
  <c r="AV15" i="3" s="1"/>
  <c r="AR16" i="3"/>
  <c r="AV16" i="3" s="1"/>
  <c r="AR17" i="3"/>
  <c r="AV17" i="3" s="1"/>
  <c r="AR18" i="3"/>
  <c r="AV18" i="3" s="1"/>
  <c r="AR19" i="3"/>
  <c r="AV19" i="3" s="1"/>
  <c r="AR20" i="3"/>
  <c r="AV20" i="3" s="1"/>
  <c r="AR21" i="3"/>
  <c r="AV21" i="3" s="1"/>
  <c r="AR22" i="3"/>
  <c r="AR23" i="3"/>
  <c r="AR24" i="3"/>
  <c r="AV24" i="3" s="1"/>
  <c r="AR25" i="3"/>
  <c r="AR26" i="3"/>
  <c r="AV26" i="3" s="1"/>
  <c r="AR27" i="3"/>
  <c r="AV27" i="3" s="1"/>
  <c r="AR28" i="3"/>
  <c r="AV28" i="3" s="1"/>
  <c r="AR29" i="3"/>
  <c r="AV29" i="3" s="1"/>
  <c r="AR30" i="3"/>
  <c r="AV30" i="3" s="1"/>
  <c r="AR31" i="3"/>
  <c r="AV31" i="3" s="1"/>
  <c r="AR32" i="3"/>
  <c r="AV32" i="3" s="1"/>
  <c r="AR33" i="3"/>
  <c r="AV33" i="3" s="1"/>
  <c r="AR34" i="3"/>
  <c r="AV34" i="3" s="1"/>
  <c r="AR35" i="3"/>
  <c r="AV35" i="3" s="1"/>
  <c r="AR36" i="3"/>
  <c r="AV36" i="3" s="1"/>
  <c r="AR37" i="3"/>
  <c r="AV37" i="3" s="1"/>
  <c r="AR38" i="3"/>
  <c r="AV38" i="3" s="1"/>
  <c r="AR39" i="3"/>
  <c r="AR40" i="3"/>
  <c r="AV40" i="3" s="1"/>
  <c r="AR41" i="3"/>
  <c r="AV41" i="3" s="1"/>
  <c r="AR42" i="3"/>
  <c r="AV42" i="3" s="1"/>
  <c r="AR43" i="3"/>
  <c r="AV43" i="3" s="1"/>
  <c r="AR44" i="3"/>
  <c r="AV44" i="3" s="1"/>
  <c r="AR45" i="3"/>
  <c r="AV45" i="3" s="1"/>
  <c r="AR46" i="3"/>
  <c r="AV46" i="3" s="1"/>
  <c r="AR47" i="3"/>
  <c r="AR48" i="3"/>
  <c r="AR49" i="3"/>
  <c r="AR50" i="3"/>
  <c r="AR51" i="3"/>
  <c r="AV51" i="3" s="1"/>
  <c r="AR52" i="3"/>
  <c r="AV52" i="3" s="1"/>
  <c r="AR53" i="3"/>
  <c r="AV53" i="3" s="1"/>
  <c r="AR54" i="3"/>
  <c r="AV54" i="3" s="1"/>
  <c r="AR55" i="3"/>
  <c r="AV55" i="3" s="1"/>
  <c r="AR56" i="3"/>
  <c r="AR57" i="3"/>
  <c r="AR58" i="3"/>
  <c r="AV58" i="3" s="1"/>
  <c r="AR59" i="3"/>
  <c r="AV59" i="3" s="1"/>
  <c r="AR60" i="3"/>
  <c r="AR61" i="3"/>
  <c r="AV61" i="3" s="1"/>
  <c r="AR62" i="3"/>
  <c r="AV62" i="3" s="1"/>
  <c r="AR63" i="3"/>
  <c r="AV63" i="3" s="1"/>
  <c r="AR64" i="3"/>
  <c r="AV64" i="3" s="1"/>
  <c r="AR65" i="3"/>
  <c r="AV65" i="3" s="1"/>
  <c r="AR66" i="3"/>
  <c r="AV66" i="3" s="1"/>
  <c r="AR67" i="3"/>
  <c r="AV67" i="3" s="1"/>
  <c r="AR68" i="3"/>
  <c r="AV68" i="3" s="1"/>
  <c r="AR69" i="3"/>
  <c r="AV69" i="3" s="1"/>
  <c r="AR70" i="3"/>
  <c r="AR71" i="3"/>
  <c r="AR72" i="3"/>
  <c r="AV72" i="3" s="1"/>
  <c r="AR73" i="3"/>
  <c r="AV73" i="3" s="1"/>
  <c r="AR74" i="3"/>
  <c r="AV74" i="3" s="1"/>
  <c r="AR75" i="3"/>
  <c r="AR76" i="3"/>
  <c r="AV76" i="3" s="1"/>
  <c r="AR77" i="3"/>
  <c r="AV77" i="3" s="1"/>
  <c r="AR78" i="3"/>
  <c r="AV78" i="3" s="1"/>
  <c r="AR79" i="3"/>
  <c r="AR80" i="3"/>
  <c r="AR81" i="3"/>
  <c r="AV81" i="3" s="1"/>
  <c r="AR82" i="3"/>
  <c r="AV82" i="3" s="1"/>
  <c r="AR83" i="3"/>
  <c r="AV83" i="3" s="1"/>
  <c r="AR84" i="3"/>
  <c r="AV84" i="3" s="1"/>
  <c r="AR85" i="3"/>
  <c r="AV85" i="3" s="1"/>
  <c r="AR86" i="3"/>
  <c r="AV86" i="3" s="1"/>
  <c r="AR87" i="3"/>
  <c r="AV87" i="3" s="1"/>
  <c r="AR88" i="3"/>
  <c r="AV88" i="3" s="1"/>
  <c r="AR89" i="3"/>
  <c r="AV89" i="3" s="1"/>
  <c r="AR90" i="3"/>
  <c r="AV90" i="3" s="1"/>
  <c r="AR91" i="3"/>
  <c r="AV91" i="3" s="1"/>
  <c r="AR92" i="3"/>
  <c r="AV92" i="3" s="1"/>
  <c r="AR93" i="3"/>
  <c r="AV93" i="3" s="1"/>
  <c r="AR94" i="3"/>
  <c r="AV94" i="3" s="1"/>
  <c r="AR95" i="3"/>
  <c r="AV95" i="3" s="1"/>
  <c r="AR96" i="3"/>
  <c r="AV96" i="3" s="1"/>
  <c r="AR97" i="3"/>
  <c r="AV97" i="3" s="1"/>
  <c r="AR98" i="3"/>
  <c r="AV98" i="3" s="1"/>
  <c r="AR99" i="3"/>
  <c r="AV99" i="3" s="1"/>
  <c r="AR100" i="3"/>
  <c r="AV100" i="3" s="1"/>
  <c r="AR101" i="3"/>
  <c r="AV101" i="3" s="1"/>
  <c r="AR102" i="3"/>
  <c r="AV102" i="3" s="1"/>
  <c r="AR103" i="3"/>
  <c r="AV103" i="3" s="1"/>
  <c r="AR104" i="3"/>
  <c r="AV104" i="3" s="1"/>
  <c r="AR105" i="3"/>
  <c r="AV105" i="3" s="1"/>
  <c r="AR106" i="3"/>
  <c r="AR107" i="3"/>
  <c r="AV107" i="3" s="1"/>
  <c r="AR108" i="3"/>
  <c r="AV108" i="3" s="1"/>
  <c r="AR109" i="3"/>
  <c r="AV109" i="3" s="1"/>
  <c r="AR110" i="3"/>
  <c r="AV110" i="3" s="1"/>
  <c r="AR111" i="3"/>
  <c r="AR112" i="3"/>
  <c r="AV112" i="3" s="1"/>
  <c r="AR113" i="3"/>
  <c r="AV113" i="3" s="1"/>
  <c r="AR114" i="3"/>
  <c r="AV114" i="3" s="1"/>
  <c r="AR115" i="3"/>
  <c r="AV115" i="3" s="1"/>
  <c r="AR116" i="3"/>
  <c r="AV116" i="3" s="1"/>
  <c r="AR117" i="3"/>
  <c r="AV117" i="3" s="1"/>
  <c r="AR118" i="3"/>
  <c r="AV118" i="3" s="1"/>
  <c r="AR119" i="3"/>
  <c r="AV119" i="3" s="1"/>
  <c r="AR120" i="3"/>
  <c r="AV120" i="3" s="1"/>
  <c r="AR121" i="3"/>
  <c r="AV121" i="3" s="1"/>
  <c r="AR122" i="3"/>
  <c r="AV122" i="3" s="1"/>
  <c r="AR123" i="3"/>
  <c r="AV123" i="3" s="1"/>
  <c r="AR124" i="3"/>
  <c r="AV124" i="3" s="1"/>
  <c r="AR125" i="3"/>
  <c r="AV125" i="3" s="1"/>
  <c r="AR126" i="3"/>
  <c r="AV126" i="3" s="1"/>
  <c r="AR127" i="3"/>
  <c r="AV127" i="3" s="1"/>
  <c r="AR128" i="3"/>
  <c r="AV128" i="3" s="1"/>
  <c r="AR129" i="3"/>
  <c r="AV129" i="3" s="1"/>
  <c r="AR130" i="3"/>
  <c r="AV130" i="3" s="1"/>
  <c r="AR131" i="3"/>
  <c r="AV131" i="3" s="1"/>
  <c r="AR132" i="3"/>
  <c r="AV132" i="3" s="1"/>
  <c r="AR133" i="3"/>
  <c r="AV133" i="3" s="1"/>
  <c r="AR134" i="3"/>
  <c r="AV134" i="3" s="1"/>
  <c r="AR135" i="3"/>
  <c r="AV135" i="3" s="1"/>
  <c r="AR136" i="3"/>
  <c r="AV136" i="3" s="1"/>
  <c r="AR137" i="3"/>
  <c r="AV137" i="3" s="1"/>
  <c r="AR138" i="3"/>
  <c r="AV138" i="3" s="1"/>
  <c r="AR139" i="3"/>
  <c r="AR140" i="3"/>
  <c r="AV140" i="3" s="1"/>
  <c r="AR141" i="3"/>
  <c r="AV141" i="3" s="1"/>
  <c r="AR142" i="3"/>
  <c r="AV142" i="3" s="1"/>
  <c r="AR143" i="3"/>
  <c r="AR144" i="3"/>
  <c r="AR145" i="3"/>
  <c r="AV145" i="3" s="1"/>
  <c r="AR146" i="3"/>
  <c r="AR147" i="3"/>
  <c r="AR148" i="3"/>
  <c r="AR149" i="3"/>
  <c r="AV149" i="3" s="1"/>
  <c r="AR150" i="3"/>
  <c r="AV150" i="3" s="1"/>
  <c r="AR151" i="3"/>
  <c r="AV151" i="3" s="1"/>
  <c r="AR152" i="3"/>
  <c r="AV152" i="3" s="1"/>
  <c r="AR153" i="3"/>
  <c r="AV153" i="3" s="1"/>
  <c r="AR154" i="3"/>
  <c r="AV154" i="3" s="1"/>
  <c r="AR155" i="3"/>
  <c r="AV155" i="3" s="1"/>
  <c r="AR156" i="3"/>
  <c r="AV156" i="3" s="1"/>
  <c r="AR157" i="3"/>
  <c r="AV157" i="3" s="1"/>
  <c r="AR158" i="3"/>
  <c r="AV158" i="3" s="1"/>
  <c r="AR159" i="3"/>
  <c r="AV159" i="3" s="1"/>
  <c r="AR10" i="3"/>
  <c r="AV10" i="3" s="1"/>
  <c r="AV47" i="3"/>
  <c r="AV48" i="3"/>
  <c r="AV49" i="3"/>
  <c r="AV50" i="3"/>
  <c r="AV60" i="3"/>
  <c r="AV75" i="3"/>
  <c r="AV79" i="3"/>
  <c r="AV80" i="3"/>
  <c r="AV111" i="3"/>
  <c r="AV139" i="3"/>
  <c r="AV143" i="3"/>
  <c r="AV144" i="3"/>
  <c r="AV146" i="3"/>
  <c r="AV147" i="3"/>
  <c r="AV148" i="3"/>
  <c r="AT71" i="3"/>
  <c r="D5" i="4"/>
  <c r="T54" i="4" s="1"/>
  <c r="E5" i="4"/>
  <c r="U48" i="4" s="1"/>
  <c r="D5" i="3"/>
  <c r="U12" i="4" l="1"/>
  <c r="L33" i="4"/>
  <c r="U17" i="4"/>
  <c r="U47" i="4"/>
  <c r="D49" i="4"/>
  <c r="L32" i="4"/>
  <c r="U16" i="4"/>
  <c r="U46" i="4"/>
  <c r="D48" i="4"/>
  <c r="L31" i="4"/>
  <c r="U15" i="4"/>
  <c r="D47" i="4"/>
  <c r="L30" i="4"/>
  <c r="U14" i="4"/>
  <c r="U45" i="4"/>
  <c r="U13" i="4"/>
  <c r="U30" i="4"/>
  <c r="U32" i="4"/>
  <c r="L21" i="4"/>
  <c r="L20" i="4"/>
  <c r="L51" i="4"/>
  <c r="L19" i="4"/>
  <c r="L50" i="4"/>
  <c r="U54" i="4"/>
  <c r="L45" i="4"/>
  <c r="L54" i="4"/>
  <c r="L22" i="4"/>
  <c r="L52" i="4"/>
  <c r="D30" i="4"/>
  <c r="L18" i="4"/>
  <c r="L49" i="4"/>
  <c r="U53" i="4"/>
  <c r="D32" i="4"/>
  <c r="L17" i="4"/>
  <c r="L48" i="4"/>
  <c r="U52" i="4"/>
  <c r="D46" i="4"/>
  <c r="L53" i="4"/>
  <c r="U31" i="4"/>
  <c r="D31" i="4"/>
  <c r="L16" i="4"/>
  <c r="L47" i="4"/>
  <c r="U51" i="4"/>
  <c r="D13" i="4"/>
  <c r="L15" i="4"/>
  <c r="L46" i="4"/>
  <c r="U50" i="4"/>
  <c r="U49" i="4"/>
  <c r="L13" i="4"/>
  <c r="D45" i="4"/>
  <c r="L14" i="4"/>
  <c r="D51" i="4"/>
  <c r="L34" i="4"/>
  <c r="U18" i="4"/>
  <c r="C13" i="4"/>
  <c r="C17" i="4"/>
  <c r="L17" i="3"/>
  <c r="D46" i="3"/>
  <c r="L49" i="3"/>
  <c r="L48" i="3"/>
  <c r="U46" i="3"/>
  <c r="D30" i="3"/>
  <c r="U54" i="3"/>
  <c r="D47" i="3"/>
  <c r="L31" i="3"/>
  <c r="L19" i="3"/>
  <c r="L50" i="3"/>
  <c r="D32" i="3"/>
  <c r="D13" i="3"/>
  <c r="L18" i="3"/>
  <c r="L16" i="3"/>
  <c r="D17" i="3"/>
  <c r="L15" i="3"/>
  <c r="L14" i="3"/>
  <c r="D15" i="3"/>
  <c r="U51" i="3"/>
  <c r="D14" i="3"/>
  <c r="L34" i="3"/>
  <c r="U17" i="3"/>
  <c r="U32" i="3"/>
  <c r="U50" i="3"/>
  <c r="L46" i="3"/>
  <c r="U12" i="3"/>
  <c r="U30" i="3"/>
  <c r="L33" i="3"/>
  <c r="U16" i="3"/>
  <c r="U31" i="3"/>
  <c r="U49" i="3"/>
  <c r="L47" i="3"/>
  <c r="U53" i="3"/>
  <c r="D16" i="3"/>
  <c r="U52" i="3"/>
  <c r="L30" i="3"/>
  <c r="U18" i="3"/>
  <c r="L32" i="3"/>
  <c r="U15" i="3"/>
  <c r="U48" i="3"/>
  <c r="D31" i="3"/>
  <c r="U14" i="3"/>
  <c r="D51" i="3"/>
  <c r="D50" i="3"/>
  <c r="L22" i="3"/>
  <c r="L53" i="3"/>
  <c r="D18" i="3"/>
  <c r="U47" i="3"/>
  <c r="D45" i="3"/>
  <c r="L45" i="3"/>
  <c r="L54" i="3"/>
  <c r="D49" i="3"/>
  <c r="L21" i="3"/>
  <c r="L52" i="3"/>
  <c r="U13" i="3"/>
  <c r="L13" i="3"/>
  <c r="D48" i="3"/>
  <c r="L20" i="3"/>
  <c r="AT85" i="3"/>
  <c r="AT62" i="3"/>
  <c r="AT140" i="3"/>
  <c r="AT78" i="3"/>
  <c r="AT92" i="3"/>
  <c r="AT126" i="3"/>
  <c r="AT14" i="3"/>
  <c r="AT124" i="3"/>
  <c r="AT91" i="3"/>
  <c r="AT11" i="3"/>
  <c r="AT142" i="3"/>
  <c r="AT94" i="3"/>
  <c r="AT108" i="3"/>
  <c r="AT107" i="3"/>
  <c r="AT43" i="3"/>
  <c r="AT158" i="3"/>
  <c r="AT30" i="3"/>
  <c r="AT156" i="3"/>
  <c r="AT139" i="3"/>
  <c r="AT123" i="3"/>
  <c r="AT75" i="3"/>
  <c r="AT27" i="3"/>
  <c r="AT133" i="3"/>
  <c r="AT51" i="3"/>
  <c r="AT110" i="3"/>
  <c r="AT46" i="3"/>
  <c r="AT155" i="3"/>
  <c r="AT59" i="3"/>
  <c r="AT87" i="3"/>
  <c r="AT37" i="3"/>
  <c r="AT56" i="3"/>
  <c r="AT39" i="3"/>
  <c r="AT23" i="3"/>
  <c r="AT106" i="3"/>
  <c r="AT57" i="3"/>
  <c r="AT22" i="3"/>
  <c r="AT89" i="3"/>
  <c r="AT152" i="3"/>
  <c r="AT136" i="3"/>
  <c r="AT88" i="3"/>
  <c r="AT72" i="3"/>
  <c r="AT40" i="3"/>
  <c r="AT153" i="3"/>
  <c r="AT137" i="3"/>
  <c r="AT135" i="3"/>
  <c r="AT134" i="3"/>
  <c r="AT118" i="3"/>
  <c r="AT86" i="3"/>
  <c r="AT38" i="3"/>
  <c r="AT105" i="3"/>
  <c r="AT73" i="3"/>
  <c r="AT121" i="3"/>
  <c r="AT41" i="3"/>
  <c r="AT70" i="3"/>
  <c r="AT117" i="3"/>
  <c r="AT69" i="3"/>
  <c r="AT151" i="3"/>
  <c r="AT55" i="3"/>
  <c r="AT150" i="3"/>
  <c r="AT54" i="3"/>
  <c r="AT149" i="3"/>
  <c r="AT53" i="3"/>
  <c r="AT120" i="3"/>
  <c r="AV106" i="3"/>
  <c r="AT119" i="3"/>
  <c r="AV57" i="3"/>
  <c r="AT104" i="3"/>
  <c r="AT157" i="3"/>
  <c r="AT141" i="3"/>
  <c r="AT125" i="3"/>
  <c r="AT109" i="3"/>
  <c r="AT93" i="3"/>
  <c r="AT77" i="3"/>
  <c r="AT61" i="3"/>
  <c r="AT45" i="3"/>
  <c r="AT29" i="3"/>
  <c r="AT13" i="3"/>
  <c r="AV56" i="3"/>
  <c r="AV39" i="3"/>
  <c r="AT103" i="3"/>
  <c r="AT102" i="3"/>
  <c r="AT101" i="3"/>
  <c r="AT154" i="3"/>
  <c r="AT138" i="3"/>
  <c r="AT122" i="3"/>
  <c r="AT90" i="3"/>
  <c r="AT74" i="3"/>
  <c r="AT58" i="3"/>
  <c r="AT42" i="3"/>
  <c r="AT26" i="3"/>
  <c r="AV23" i="3"/>
  <c r="AV22" i="3"/>
  <c r="AT24" i="3"/>
  <c r="AT21" i="3"/>
  <c r="AT16" i="3"/>
  <c r="AT25" i="3"/>
  <c r="AT148" i="3"/>
  <c r="AT132" i="3"/>
  <c r="AT116" i="3"/>
  <c r="AT100" i="3"/>
  <c r="AT84" i="3"/>
  <c r="AT68" i="3"/>
  <c r="AT52" i="3"/>
  <c r="AT36" i="3"/>
  <c r="AT20" i="3"/>
  <c r="AT147" i="3"/>
  <c r="AT131" i="3"/>
  <c r="AT115" i="3"/>
  <c r="AT99" i="3"/>
  <c r="AT83" i="3"/>
  <c r="AT67" i="3"/>
  <c r="AT35" i="3"/>
  <c r="AT19" i="3"/>
  <c r="AT114" i="3"/>
  <c r="AT66" i="3"/>
  <c r="AT129" i="3"/>
  <c r="AT81" i="3"/>
  <c r="AT33" i="3"/>
  <c r="AT130" i="3"/>
  <c r="AT82" i="3"/>
  <c r="AT34" i="3"/>
  <c r="AT145" i="3"/>
  <c r="AT49" i="3"/>
  <c r="AT144" i="3"/>
  <c r="AT128" i="3"/>
  <c r="AT112" i="3"/>
  <c r="AT96" i="3"/>
  <c r="AT80" i="3"/>
  <c r="AT64" i="3"/>
  <c r="AT48" i="3"/>
  <c r="AT32" i="3"/>
  <c r="AT146" i="3"/>
  <c r="AT98" i="3"/>
  <c r="AT50" i="3"/>
  <c r="AT18" i="3"/>
  <c r="AT113" i="3"/>
  <c r="AT97" i="3"/>
  <c r="AT65" i="3"/>
  <c r="AT17" i="3"/>
  <c r="AT159" i="3"/>
  <c r="AT143" i="3"/>
  <c r="AT127" i="3"/>
  <c r="AT111" i="3"/>
  <c r="AT95" i="3"/>
  <c r="AT79" i="3"/>
  <c r="AT63" i="3"/>
  <c r="AT47" i="3"/>
  <c r="AT31" i="3"/>
  <c r="AT15" i="3"/>
  <c r="AT76" i="3"/>
  <c r="AT60" i="3"/>
  <c r="AT44" i="3"/>
  <c r="AT28" i="3"/>
  <c r="AT12" i="3"/>
  <c r="K52" i="3"/>
  <c r="K47" i="3"/>
  <c r="K51" i="3"/>
  <c r="K49" i="3"/>
  <c r="K48" i="3"/>
  <c r="K46" i="3"/>
  <c r="K50" i="3"/>
  <c r="K54" i="3"/>
  <c r="K53" i="3"/>
  <c r="K45" i="3"/>
  <c r="T16" i="4"/>
  <c r="T31" i="4"/>
  <c r="C32" i="4"/>
  <c r="K32" i="4"/>
  <c r="T48" i="4"/>
  <c r="C49" i="4"/>
  <c r="T49" i="4"/>
  <c r="C50" i="4"/>
  <c r="K17" i="4"/>
  <c r="K49" i="4"/>
  <c r="T17" i="4"/>
  <c r="K51" i="4"/>
  <c r="T52" i="4"/>
  <c r="T32" i="4"/>
  <c r="T12" i="4"/>
  <c r="C18" i="4"/>
  <c r="K33" i="4"/>
  <c r="K18" i="4"/>
  <c r="K34" i="4"/>
  <c r="K50" i="4"/>
  <c r="K13" i="4"/>
  <c r="T18" i="4"/>
  <c r="C45" i="4"/>
  <c r="T50" i="4"/>
  <c r="T13" i="4"/>
  <c r="K19" i="4"/>
  <c r="K45" i="4"/>
  <c r="C51" i="4"/>
  <c r="C14" i="4"/>
  <c r="K20" i="4"/>
  <c r="C46" i="4"/>
  <c r="K14" i="4"/>
  <c r="K21" i="4"/>
  <c r="K46" i="4"/>
  <c r="T51" i="4"/>
  <c r="T14" i="4"/>
  <c r="K22" i="4"/>
  <c r="T46" i="4"/>
  <c r="K52" i="4"/>
  <c r="C15" i="4"/>
  <c r="C30" i="4"/>
  <c r="C47" i="4"/>
  <c r="K15" i="4"/>
  <c r="K30" i="4"/>
  <c r="K47" i="4"/>
  <c r="K53" i="4"/>
  <c r="T15" i="4"/>
  <c r="T30" i="4"/>
  <c r="T47" i="4"/>
  <c r="T53" i="4"/>
  <c r="C16" i="4"/>
  <c r="C31" i="4"/>
  <c r="C48" i="4"/>
  <c r="K54" i="4"/>
  <c r="K16" i="4"/>
  <c r="K31" i="4"/>
  <c r="K48" i="4"/>
</calcChain>
</file>

<file path=xl/sharedStrings.xml><?xml version="1.0" encoding="utf-8"?>
<sst xmlns="http://schemas.openxmlformats.org/spreadsheetml/2006/main" count="512" uniqueCount="67">
  <si>
    <t>Ensayo 1 IPE 160</t>
  </si>
  <si>
    <t>Fuerza [kg]</t>
  </si>
  <si>
    <t>Desplazamiento [mm]</t>
  </si>
  <si>
    <t>Prueba de tensión vertical</t>
  </si>
  <si>
    <t>Prueba de compresión vertical</t>
  </si>
  <si>
    <t>Prueba de carga lateral</t>
  </si>
  <si>
    <t>Ensayo 2 IPE 160</t>
  </si>
  <si>
    <t>Profundidad de hinca [m]</t>
  </si>
  <si>
    <t>Ensayo 3 IPE 160</t>
  </si>
  <si>
    <t>Dimensiones IPE 160</t>
  </si>
  <si>
    <t>B</t>
  </si>
  <si>
    <t>H</t>
  </si>
  <si>
    <t>Nota el ensayo fue realizado por el lado fuerte</t>
  </si>
  <si>
    <t>Item</t>
  </si>
  <si>
    <t>Correlación dimensional IPE 160 a W8X15</t>
  </si>
  <si>
    <t>Correlación prueba vertical 3 para W8X15</t>
  </si>
  <si>
    <t>Correlación prueba vertical 1 para W8X15</t>
  </si>
  <si>
    <t>Correlación prueba vertical 2 para W8X15</t>
  </si>
  <si>
    <t>Correlación prueba lateral 1 para W8X15</t>
  </si>
  <si>
    <t>Correlación prueba lateral 2 para W8X15</t>
  </si>
  <si>
    <t>Correlación prueba lateral 3 para W8X15</t>
  </si>
  <si>
    <t>Poste General</t>
  </si>
  <si>
    <t>D+W15(+)</t>
  </si>
  <si>
    <t>D+W15(-)</t>
  </si>
  <si>
    <t>D+W60(+)</t>
  </si>
  <si>
    <t>D+W60(-)</t>
  </si>
  <si>
    <t>0.6D+W15(+)</t>
  </si>
  <si>
    <t>0.6D+W15(-)</t>
  </si>
  <si>
    <t>0.6D+W60(+)</t>
  </si>
  <si>
    <t>0.6D+W60(-)</t>
  </si>
  <si>
    <t>D</t>
  </si>
  <si>
    <t>D+0.7E</t>
  </si>
  <si>
    <t>0.6D+0.7E</t>
  </si>
  <si>
    <t>D+0.75W15(+)</t>
  </si>
  <si>
    <t>D+0.75 W15(-)</t>
  </si>
  <si>
    <t>D+0.75W60(+)</t>
  </si>
  <si>
    <t>D+0.75W60(-)</t>
  </si>
  <si>
    <t>FX (kN)</t>
  </si>
  <si>
    <t>FY (kN)</t>
  </si>
  <si>
    <t>FZ (kN)</t>
  </si>
  <si>
    <t>MX (kNm)</t>
  </si>
  <si>
    <t>MY (kNm)</t>
  </si>
  <si>
    <t>MZ (kNm)</t>
  </si>
  <si>
    <t>Case name</t>
  </si>
  <si>
    <t>Fz (kg)</t>
  </si>
  <si>
    <t>F.S Tensión</t>
  </si>
  <si>
    <t>F.S Compresión</t>
  </si>
  <si>
    <t>Carga horizontal equivalente (kg)</t>
  </si>
  <si>
    <t>Carga maxima a tensión (kg)</t>
  </si>
  <si>
    <t>Carga maxima a compresión (kg)</t>
  </si>
  <si>
    <t>Carga maxima lateral (kg)</t>
  </si>
  <si>
    <t>F.S. Carga lateral</t>
  </si>
  <si>
    <t>Cambiar a 8X10</t>
  </si>
  <si>
    <t>Correlación dimensional IPE 160 a W8X10 (Ala extendida)</t>
  </si>
  <si>
    <t>CARGAS DE SERVICIO POSTE W8X10</t>
  </si>
  <si>
    <t>Correlación prueba vertical 3 para W8X10</t>
  </si>
  <si>
    <t>Correlación prueba vertical 1 para W8X10</t>
  </si>
  <si>
    <t>Correlación prueba vertical 2 para W8X10</t>
  </si>
  <si>
    <t>Correlación prueba lateral 1 para W8X10</t>
  </si>
  <si>
    <t>Correlación prueba lateral 2 para W8X10</t>
  </si>
  <si>
    <t>Correlación prueba lateral 3 para W8X10</t>
  </si>
  <si>
    <t>Dimensiones W8X10 (Ala aumentada)</t>
  </si>
  <si>
    <t>Poste Motor</t>
  </si>
  <si>
    <t>FY (kg)</t>
  </si>
  <si>
    <t>Umbral carga lateral</t>
  </si>
  <si>
    <t>FZ (kg)</t>
  </si>
  <si>
    <t>Dimensiones W8X15 (Ala expandida)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</si>
</sst>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de tensión vertical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'Pull out test IPE 160'!$D$8</c:f>
              <c:strCache>
                <c:ptCount val="1"/>
                <c:pt idx="0">
                  <c:v>Fuerza [kg]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'Pull out test IPE 160'!$C$9:$C$14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2.4</c:v>
                </c:pt>
                <c:pt idx="3">
                  <c:v>4.74</c:v>
                </c:pt>
                <c:pt idx="4">
                  <c:v>12.09</c:v>
                </c:pt>
                <c:pt idx="5">
                  <c:v>25.59</c:v>
                </c:pt>
              </c:numCache>
            </c:numRef>
          </c:xVal>
          <c:yVal>
            <c:numRef>
              <c:f>'Pull out test IPE 160'!$D$9:$D$14</c:f>
              <c:numCache>
                <c:formatCode>General</c:formatCode>
                <c:ptCount val="6"/>
                <c:pt idx="0">
                  <c:v>0</c:v>
                </c:pt>
                <c:pt idx="1">
                  <c:v>326</c:v>
                </c:pt>
                <c:pt idx="2">
                  <c:v>618</c:v>
                </c:pt>
                <c:pt idx="3">
                  <c:v>861</c:v>
                </c:pt>
                <c:pt idx="4">
                  <c:v>1032</c:v>
                </c:pt>
                <c:pt idx="5">
                  <c:v>1164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F7-4357-B7A0-C9A91B4EE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719871"/>
        <c:axId val="1281703551"/>
      </c:scatterChart>
      <c:valAx>
        <c:axId val="128171987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81703551"/>
        <c:crosses val="autoZero"/>
        <c:crossBetween val="midCat"/>
      </c:valAx>
      <c:valAx>
        <c:axId val="128170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8171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compresión vertical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'Pull out test IPE 160'!$D$25</c:f>
              <c:strCache>
                <c:ptCount val="1"/>
                <c:pt idx="0">
                  <c:v>Fuerza [kg]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'Pull out test IPE 160'!$C$26:$C$28</c:f>
              <c:numCache>
                <c:formatCode>General</c:formatCode>
                <c:ptCount val="3"/>
                <c:pt idx="0">
                  <c:v>0</c:v>
                </c:pt>
                <c:pt idx="1">
                  <c:v>12.18</c:v>
                </c:pt>
                <c:pt idx="2">
                  <c:v>25.8</c:v>
                </c:pt>
              </c:numCache>
            </c:numRef>
          </c:xVal>
          <c:yVal>
            <c:numRef>
              <c:f>'Pull out test IPE 160'!$D$26:$D$28</c:f>
              <c:numCache>
                <c:formatCode>General</c:formatCode>
                <c:ptCount val="3"/>
                <c:pt idx="0">
                  <c:v>0</c:v>
                </c:pt>
                <c:pt idx="1">
                  <c:v>342</c:v>
                </c:pt>
                <c:pt idx="2">
                  <c:v>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07-44C2-A93C-0F30702C7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691375"/>
        <c:axId val="1435175359"/>
      </c:scatterChart>
      <c:valAx>
        <c:axId val="143769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5175359"/>
        <c:crosses val="autoZero"/>
        <c:crossBetween val="midCat"/>
      </c:valAx>
      <c:valAx>
        <c:axId val="14351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 Aplicada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769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carga lateral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'Pull out test IPE 160'!$C$41:$C$47</c:f>
              <c:numCache>
                <c:formatCode>General</c:formatCode>
                <c:ptCount val="7"/>
                <c:pt idx="0">
                  <c:v>0</c:v>
                </c:pt>
                <c:pt idx="1">
                  <c:v>4.4400000000000004</c:v>
                </c:pt>
                <c:pt idx="2">
                  <c:v>6.64</c:v>
                </c:pt>
                <c:pt idx="3">
                  <c:v>10.11</c:v>
                </c:pt>
                <c:pt idx="4">
                  <c:v>17.260000000000002</c:v>
                </c:pt>
                <c:pt idx="5">
                  <c:v>24.6</c:v>
                </c:pt>
                <c:pt idx="6">
                  <c:v>25.57</c:v>
                </c:pt>
              </c:numCache>
            </c:numRef>
          </c:xVal>
          <c:yVal>
            <c:numRef>
              <c:f>'Pull out test IPE 160'!$D$41:$D$47</c:f>
              <c:numCache>
                <c:formatCode>General</c:formatCode>
                <c:ptCount val="7"/>
                <c:pt idx="0">
                  <c:v>0</c:v>
                </c:pt>
                <c:pt idx="1">
                  <c:v>350</c:v>
                </c:pt>
                <c:pt idx="2">
                  <c:v>524</c:v>
                </c:pt>
                <c:pt idx="3">
                  <c:v>718</c:v>
                </c:pt>
                <c:pt idx="4">
                  <c:v>1030</c:v>
                </c:pt>
                <c:pt idx="5">
                  <c:v>1240</c:v>
                </c:pt>
                <c:pt idx="6">
                  <c:v>1320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75-4F9E-877B-58C19B7BC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40015"/>
        <c:axId val="1274140495"/>
      </c:scatterChart>
      <c:valAx>
        <c:axId val="12741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74140495"/>
        <c:crosses val="autoZero"/>
        <c:crossBetween val="midCat"/>
      </c:valAx>
      <c:valAx>
        <c:axId val="12741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741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tensión vertical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'Pull out test IPE 160'!$K$9:$K$18</c:f>
              <c:numCache>
                <c:formatCode>General</c:formatCode>
                <c:ptCount val="10"/>
                <c:pt idx="0">
                  <c:v>0</c:v>
                </c:pt>
                <c:pt idx="1">
                  <c:v>0.09</c:v>
                </c:pt>
                <c:pt idx="2">
                  <c:v>0.23</c:v>
                </c:pt>
                <c:pt idx="3">
                  <c:v>0.71</c:v>
                </c:pt>
                <c:pt idx="4">
                  <c:v>1.1100000000000001</c:v>
                </c:pt>
                <c:pt idx="5">
                  <c:v>2.16</c:v>
                </c:pt>
                <c:pt idx="6">
                  <c:v>3.51</c:v>
                </c:pt>
                <c:pt idx="7">
                  <c:v>6.53</c:v>
                </c:pt>
                <c:pt idx="8">
                  <c:v>14.79</c:v>
                </c:pt>
                <c:pt idx="9">
                  <c:v>25.65</c:v>
                </c:pt>
              </c:numCache>
            </c:numRef>
          </c:xVal>
          <c:yVal>
            <c:numRef>
              <c:f>'Pull out test IPE 160'!$L$9:$L$18</c:f>
              <c:numCache>
                <c:formatCode>General</c:formatCode>
                <c:ptCount val="10"/>
                <c:pt idx="0">
                  <c:v>0</c:v>
                </c:pt>
                <c:pt idx="1">
                  <c:v>402</c:v>
                </c:pt>
                <c:pt idx="2">
                  <c:v>618</c:v>
                </c:pt>
                <c:pt idx="3">
                  <c:v>817</c:v>
                </c:pt>
                <c:pt idx="4">
                  <c:v>1046</c:v>
                </c:pt>
                <c:pt idx="5">
                  <c:v>1302</c:v>
                </c:pt>
                <c:pt idx="6">
                  <c:v>1450</c:v>
                </c:pt>
                <c:pt idx="7">
                  <c:v>1652</c:v>
                </c:pt>
                <c:pt idx="8">
                  <c:v>1862</c:v>
                </c:pt>
                <c:pt idx="9">
                  <c:v>1932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1-4893-895C-AB267E816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905439"/>
        <c:axId val="1433903039"/>
      </c:scatterChart>
      <c:valAx>
        <c:axId val="14339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3903039"/>
        <c:crosses val="autoZero"/>
        <c:crossBetween val="midCat"/>
      </c:valAx>
      <c:valAx>
        <c:axId val="14339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 aplicada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390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</a:t>
            </a:r>
            <a:r>
              <a:rPr lang="es-US" baseline="0"/>
              <a:t> de compresión vertical 2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'Pull out test IPE 160'!$K$26:$K$30</c:f>
              <c:numCache>
                <c:formatCode>General</c:formatCode>
                <c:ptCount val="5"/>
                <c:pt idx="0">
                  <c:v>0</c:v>
                </c:pt>
                <c:pt idx="1">
                  <c:v>1.07</c:v>
                </c:pt>
                <c:pt idx="2">
                  <c:v>3.16</c:v>
                </c:pt>
                <c:pt idx="3">
                  <c:v>6.78</c:v>
                </c:pt>
                <c:pt idx="4">
                  <c:v>25.5</c:v>
                </c:pt>
              </c:numCache>
            </c:numRef>
          </c:xVal>
          <c:yVal>
            <c:numRef>
              <c:f>'Pull out test IPE 160'!$L$26:$L$30</c:f>
              <c:numCache>
                <c:formatCode>General</c:formatCode>
                <c:ptCount val="5"/>
                <c:pt idx="0">
                  <c:v>0</c:v>
                </c:pt>
                <c:pt idx="1">
                  <c:v>349</c:v>
                </c:pt>
                <c:pt idx="2">
                  <c:v>520</c:v>
                </c:pt>
                <c:pt idx="3">
                  <c:v>781</c:v>
                </c:pt>
                <c:pt idx="4">
                  <c:v>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9-410E-BD97-E4EA3568F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400688"/>
        <c:axId val="1057401168"/>
      </c:scatterChart>
      <c:valAx>
        <c:axId val="105740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7401168"/>
        <c:crosses val="autoZero"/>
        <c:crossBetween val="midCat"/>
      </c:valAx>
      <c:valAx>
        <c:axId val="10574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740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´Prueba</a:t>
            </a:r>
            <a:r>
              <a:rPr lang="es-US" baseline="0"/>
              <a:t> de carga lateral 2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'Pull out test IPE 160'!$K$41:$K$50</c:f>
              <c:numCache>
                <c:formatCode>General</c:formatCode>
                <c:ptCount val="10"/>
                <c:pt idx="0">
                  <c:v>0</c:v>
                </c:pt>
                <c:pt idx="1">
                  <c:v>2.2000000000000002</c:v>
                </c:pt>
                <c:pt idx="2">
                  <c:v>3.12</c:v>
                </c:pt>
                <c:pt idx="3">
                  <c:v>4.43</c:v>
                </c:pt>
                <c:pt idx="4">
                  <c:v>6.89</c:v>
                </c:pt>
                <c:pt idx="5">
                  <c:v>9.58</c:v>
                </c:pt>
                <c:pt idx="6">
                  <c:v>11.54</c:v>
                </c:pt>
                <c:pt idx="7">
                  <c:v>13.9</c:v>
                </c:pt>
                <c:pt idx="8">
                  <c:v>16.7</c:v>
                </c:pt>
                <c:pt idx="9">
                  <c:v>20.7</c:v>
                </c:pt>
              </c:numCache>
            </c:numRef>
          </c:xVal>
          <c:yVal>
            <c:numRef>
              <c:f>'Pull out test IPE 160'!$L$41:$L$50</c:f>
              <c:numCache>
                <c:formatCode>General</c:formatCode>
                <c:ptCount val="10"/>
                <c:pt idx="0">
                  <c:v>0</c:v>
                </c:pt>
                <c:pt idx="1">
                  <c:v>310</c:v>
                </c:pt>
                <c:pt idx="2">
                  <c:v>550</c:v>
                </c:pt>
                <c:pt idx="3">
                  <c:v>728</c:v>
                </c:pt>
                <c:pt idx="4">
                  <c:v>1040</c:v>
                </c:pt>
                <c:pt idx="5">
                  <c:v>1268</c:v>
                </c:pt>
                <c:pt idx="6">
                  <c:v>1462</c:v>
                </c:pt>
                <c:pt idx="7">
                  <c:v>1654</c:v>
                </c:pt>
                <c:pt idx="8">
                  <c:v>1869</c:v>
                </c:pt>
                <c:pt idx="9">
                  <c:v>2072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DB-44B6-8F86-3A3B02CC3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70320"/>
        <c:axId val="1056771280"/>
      </c:scatterChart>
      <c:valAx>
        <c:axId val="105677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6771280"/>
        <c:crosses val="autoZero"/>
        <c:crossBetween val="midCat"/>
      </c:valAx>
      <c:valAx>
        <c:axId val="10567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677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tensión vertical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'Pull out test IPE 160'!$T$8:$T$14</c:f>
              <c:numCache>
                <c:formatCode>General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1.6</c:v>
                </c:pt>
                <c:pt idx="4">
                  <c:v>7.73</c:v>
                </c:pt>
                <c:pt idx="5">
                  <c:v>18.87</c:v>
                </c:pt>
                <c:pt idx="6">
                  <c:v>25.49</c:v>
                </c:pt>
              </c:numCache>
            </c:numRef>
          </c:xVal>
          <c:yVal>
            <c:numRef>
              <c:f>'Pull out test IPE 160'!$U$8:$U$14</c:f>
              <c:numCache>
                <c:formatCode>General</c:formatCode>
                <c:ptCount val="7"/>
                <c:pt idx="0">
                  <c:v>0</c:v>
                </c:pt>
                <c:pt idx="1">
                  <c:v>354</c:v>
                </c:pt>
                <c:pt idx="2">
                  <c:v>580</c:v>
                </c:pt>
                <c:pt idx="3">
                  <c:v>761</c:v>
                </c:pt>
                <c:pt idx="4">
                  <c:v>1140</c:v>
                </c:pt>
                <c:pt idx="5">
                  <c:v>1374</c:v>
                </c:pt>
                <c:pt idx="6">
                  <c:v>1402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ED-4D3E-8548-FE148769D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564351"/>
        <c:axId val="1438564831"/>
      </c:scatterChart>
      <c:valAx>
        <c:axId val="143856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8564831"/>
        <c:crosses val="autoZero"/>
        <c:crossBetween val="midCat"/>
      </c:valAx>
      <c:valAx>
        <c:axId val="14385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856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compresión vertical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'Pull out test IPE 160'!$T$26:$T$28</c:f>
              <c:numCache>
                <c:formatCode>General</c:formatCode>
                <c:ptCount val="3"/>
                <c:pt idx="0">
                  <c:v>0</c:v>
                </c:pt>
                <c:pt idx="1">
                  <c:v>10.46</c:v>
                </c:pt>
                <c:pt idx="2">
                  <c:v>25.8</c:v>
                </c:pt>
              </c:numCache>
            </c:numRef>
          </c:xVal>
          <c:yVal>
            <c:numRef>
              <c:f>'Pull out test IPE 160'!$U$26:$U$28</c:f>
              <c:numCache>
                <c:formatCode>General</c:formatCode>
                <c:ptCount val="3"/>
                <c:pt idx="0">
                  <c:v>0</c:v>
                </c:pt>
                <c:pt idx="1">
                  <c:v>332</c:v>
                </c:pt>
                <c:pt idx="2">
                  <c:v>420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FB-45C6-BE28-6CD1647E9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491199"/>
        <c:axId val="1403493119"/>
      </c:scatterChart>
      <c:valAx>
        <c:axId val="140349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3493119"/>
        <c:crosses val="autoZero"/>
        <c:crossBetween val="midCat"/>
      </c:valAx>
      <c:valAx>
        <c:axId val="14034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349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carga lateral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'Pull out test IPE 160'!$T$41:$T$50</c:f>
              <c:numCache>
                <c:formatCode>General</c:formatCode>
                <c:ptCount val="10"/>
                <c:pt idx="0">
                  <c:v>0</c:v>
                </c:pt>
                <c:pt idx="1">
                  <c:v>3.08</c:v>
                </c:pt>
                <c:pt idx="2">
                  <c:v>4.28</c:v>
                </c:pt>
                <c:pt idx="3">
                  <c:v>6.64</c:v>
                </c:pt>
                <c:pt idx="4">
                  <c:v>10.4</c:v>
                </c:pt>
                <c:pt idx="5">
                  <c:v>14.12</c:v>
                </c:pt>
                <c:pt idx="6">
                  <c:v>16.899999999999999</c:v>
                </c:pt>
                <c:pt idx="7">
                  <c:v>20.5</c:v>
                </c:pt>
                <c:pt idx="8">
                  <c:v>24.6</c:v>
                </c:pt>
                <c:pt idx="9">
                  <c:v>25.3</c:v>
                </c:pt>
              </c:numCache>
            </c:numRef>
          </c:xVal>
          <c:yVal>
            <c:numRef>
              <c:f>'Pull out test IPE 160'!$U$41:$U$50</c:f>
              <c:numCache>
                <c:formatCode>General</c:formatCode>
                <c:ptCount val="10"/>
                <c:pt idx="0">
                  <c:v>0</c:v>
                </c:pt>
                <c:pt idx="1">
                  <c:v>320</c:v>
                </c:pt>
                <c:pt idx="2">
                  <c:v>530</c:v>
                </c:pt>
                <c:pt idx="3">
                  <c:v>742</c:v>
                </c:pt>
                <c:pt idx="4">
                  <c:v>1036</c:v>
                </c:pt>
                <c:pt idx="5">
                  <c:v>1280</c:v>
                </c:pt>
                <c:pt idx="6">
                  <c:v>1465</c:v>
                </c:pt>
                <c:pt idx="7">
                  <c:v>1634</c:v>
                </c:pt>
                <c:pt idx="8">
                  <c:v>1840</c:v>
                </c:pt>
                <c:pt idx="9">
                  <c:v>1936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7E-4905-90F9-1A7DEFDCD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53567"/>
        <c:axId val="1483455487"/>
      </c:scatterChart>
      <c:valAx>
        <c:axId val="148345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83455487"/>
        <c:crosses val="autoZero"/>
        <c:crossBetween val="midCat"/>
      </c:valAx>
      <c:valAx>
        <c:axId val="148345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vertical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8345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de tensión vertical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'Interpolación para W8X10'!$D$12</c:f>
              <c:strCache>
                <c:ptCount val="1"/>
                <c:pt idx="0">
                  <c:v>Fuerza [kg]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'Interpolación para W8X10'!$C$13:$C$18</c:f>
              <c:numCache>
                <c:formatCode>0.000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2.4</c:v>
                </c:pt>
                <c:pt idx="3">
                  <c:v>4.74</c:v>
                </c:pt>
                <c:pt idx="4">
                  <c:v>12.09</c:v>
                </c:pt>
                <c:pt idx="5">
                  <c:v>25.59</c:v>
                </c:pt>
              </c:numCache>
            </c:numRef>
          </c:xVal>
          <c:yVal>
            <c:numRef>
              <c:f>'Interpolación para W8X10'!$D$13:$D$18</c:f>
              <c:numCache>
                <c:formatCode>General</c:formatCode>
                <c:ptCount val="6"/>
                <c:pt idx="0">
                  <c:v>0</c:v>
                </c:pt>
                <c:pt idx="1">
                  <c:v>675.85365853658539</c:v>
                </c:pt>
                <c:pt idx="2">
                  <c:v>1281.219512195122</c:v>
                </c:pt>
                <c:pt idx="3">
                  <c:v>1785</c:v>
                </c:pt>
                <c:pt idx="4">
                  <c:v>2139.5121951219512</c:v>
                </c:pt>
                <c:pt idx="5">
                  <c:v>2413.1707317073174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D1-4AD8-BD2B-045D96EB5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719871"/>
        <c:axId val="1281703551"/>
      </c:scatterChart>
      <c:valAx>
        <c:axId val="128171987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81703551"/>
        <c:crosses val="autoZero"/>
        <c:crossBetween val="midCat"/>
      </c:valAx>
      <c:valAx>
        <c:axId val="128170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8171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compresión vertical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'Interpolación para W8X10'!$D$29</c:f>
              <c:strCache>
                <c:ptCount val="1"/>
                <c:pt idx="0">
                  <c:v>Fuerza [kg]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'Interpolación para W8X10'!$C$30:$C$32</c:f>
              <c:numCache>
                <c:formatCode>0.000</c:formatCode>
                <c:ptCount val="3"/>
                <c:pt idx="0">
                  <c:v>0</c:v>
                </c:pt>
                <c:pt idx="1">
                  <c:v>12.18</c:v>
                </c:pt>
                <c:pt idx="2">
                  <c:v>25.8</c:v>
                </c:pt>
              </c:numCache>
            </c:numRef>
          </c:xVal>
          <c:yVal>
            <c:numRef>
              <c:f>'Interpolación para W8X10'!$D$30:$D$32</c:f>
              <c:numCache>
                <c:formatCode>General</c:formatCode>
                <c:ptCount val="3"/>
                <c:pt idx="0">
                  <c:v>0</c:v>
                </c:pt>
                <c:pt idx="1">
                  <c:v>709.02439024390242</c:v>
                </c:pt>
                <c:pt idx="2">
                  <c:v>881.09756097560978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D5-4DAA-A3A8-0C9391454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691375"/>
        <c:axId val="1435175359"/>
      </c:scatterChart>
      <c:valAx>
        <c:axId val="143769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5175359"/>
        <c:crosses val="autoZero"/>
        <c:crossBetween val="midCat"/>
      </c:valAx>
      <c:valAx>
        <c:axId val="14351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 Aplicada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769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carga lateral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W8X10'!$C$45:$C$51</c:f>
              <c:numCache>
                <c:formatCode>General</c:formatCode>
                <c:ptCount val="7"/>
                <c:pt idx="0">
                  <c:v>0</c:v>
                </c:pt>
                <c:pt idx="1">
                  <c:v>4.4400000000000004</c:v>
                </c:pt>
                <c:pt idx="2">
                  <c:v>6.64</c:v>
                </c:pt>
                <c:pt idx="3">
                  <c:v>10.11</c:v>
                </c:pt>
                <c:pt idx="4">
                  <c:v>17.260000000000002</c:v>
                </c:pt>
                <c:pt idx="5">
                  <c:v>24.6</c:v>
                </c:pt>
                <c:pt idx="6">
                  <c:v>25.57</c:v>
                </c:pt>
              </c:numCache>
            </c:numRef>
          </c:xVal>
          <c:yVal>
            <c:numRef>
              <c:f>'Interpolación para W8X10'!$D$45:$D$51</c:f>
              <c:numCache>
                <c:formatCode>General</c:formatCode>
                <c:ptCount val="7"/>
                <c:pt idx="0">
                  <c:v>0</c:v>
                </c:pt>
                <c:pt idx="1">
                  <c:v>725.60975609756099</c:v>
                </c:pt>
                <c:pt idx="2">
                  <c:v>1086.3414634146343</c:v>
                </c:pt>
                <c:pt idx="3">
                  <c:v>1488.5365853658536</c:v>
                </c:pt>
                <c:pt idx="4">
                  <c:v>2135.3658536585367</c:v>
                </c:pt>
                <c:pt idx="5">
                  <c:v>2570.7317073170734</c:v>
                </c:pt>
                <c:pt idx="6">
                  <c:v>2736.5853658536585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B2-4E36-AB33-A50A6A392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40015"/>
        <c:axId val="1274140495"/>
      </c:scatterChart>
      <c:valAx>
        <c:axId val="12741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74140495"/>
        <c:crosses val="autoZero"/>
        <c:crossBetween val="midCat"/>
      </c:valAx>
      <c:valAx>
        <c:axId val="12741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741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tensión vertical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W8X10'!$K$13:$K$22</c:f>
              <c:numCache>
                <c:formatCode>0.00</c:formatCode>
                <c:ptCount val="10"/>
                <c:pt idx="0">
                  <c:v>0</c:v>
                </c:pt>
                <c:pt idx="1">
                  <c:v>0.09</c:v>
                </c:pt>
                <c:pt idx="2">
                  <c:v>0.23</c:v>
                </c:pt>
                <c:pt idx="3">
                  <c:v>0.71</c:v>
                </c:pt>
                <c:pt idx="4">
                  <c:v>1.1100000000000001</c:v>
                </c:pt>
                <c:pt idx="5">
                  <c:v>2.16</c:v>
                </c:pt>
                <c:pt idx="6">
                  <c:v>3.51</c:v>
                </c:pt>
                <c:pt idx="7">
                  <c:v>6.53</c:v>
                </c:pt>
                <c:pt idx="8">
                  <c:v>14.79</c:v>
                </c:pt>
                <c:pt idx="9">
                  <c:v>25.65</c:v>
                </c:pt>
              </c:numCache>
            </c:numRef>
          </c:xVal>
          <c:yVal>
            <c:numRef>
              <c:f>'Interpolación para W8X10'!$L$13:$L$22</c:f>
              <c:numCache>
                <c:formatCode>General</c:formatCode>
                <c:ptCount val="10"/>
                <c:pt idx="0">
                  <c:v>0</c:v>
                </c:pt>
                <c:pt idx="1">
                  <c:v>833.41463414634154</c:v>
                </c:pt>
                <c:pt idx="2">
                  <c:v>1281.219512195122</c:v>
                </c:pt>
                <c:pt idx="3">
                  <c:v>1693.780487804878</c:v>
                </c:pt>
                <c:pt idx="4">
                  <c:v>2168.5365853658536</c:v>
                </c:pt>
                <c:pt idx="5">
                  <c:v>2699.268292682927</c:v>
                </c:pt>
                <c:pt idx="6">
                  <c:v>3006.0975609756097</c:v>
                </c:pt>
                <c:pt idx="7">
                  <c:v>3424.8780487804879</c:v>
                </c:pt>
                <c:pt idx="8">
                  <c:v>3860.2439024390246</c:v>
                </c:pt>
                <c:pt idx="9">
                  <c:v>4005.3658536585367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E8-4682-A6E7-A9F0B9CF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905439"/>
        <c:axId val="1433903039"/>
      </c:scatterChart>
      <c:valAx>
        <c:axId val="14339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3903039"/>
        <c:crosses val="autoZero"/>
        <c:crossBetween val="midCat"/>
      </c:valAx>
      <c:valAx>
        <c:axId val="14339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 aplicada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390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</a:t>
            </a:r>
            <a:r>
              <a:rPr lang="es-US" baseline="0"/>
              <a:t> de compresión vertical 2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W8X10'!$K$30:$K$34</c:f>
              <c:numCache>
                <c:formatCode>0.000</c:formatCode>
                <c:ptCount val="5"/>
                <c:pt idx="0">
                  <c:v>0</c:v>
                </c:pt>
                <c:pt idx="1">
                  <c:v>1.07</c:v>
                </c:pt>
                <c:pt idx="2">
                  <c:v>3.16</c:v>
                </c:pt>
                <c:pt idx="3">
                  <c:v>6.78</c:v>
                </c:pt>
                <c:pt idx="4">
                  <c:v>25.5</c:v>
                </c:pt>
              </c:numCache>
            </c:numRef>
          </c:xVal>
          <c:yVal>
            <c:numRef>
              <c:f>'Interpolación para W8X10'!$L$30:$L$34</c:f>
              <c:numCache>
                <c:formatCode>General</c:formatCode>
                <c:ptCount val="5"/>
                <c:pt idx="0">
                  <c:v>0</c:v>
                </c:pt>
                <c:pt idx="1">
                  <c:v>833.41463414634154</c:v>
                </c:pt>
                <c:pt idx="2">
                  <c:v>1281.219512195122</c:v>
                </c:pt>
                <c:pt idx="3">
                  <c:v>1693.780487804878</c:v>
                </c:pt>
                <c:pt idx="4">
                  <c:v>2168.5365853658536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0B-4919-96E4-1CD22F2A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400688"/>
        <c:axId val="1057401168"/>
      </c:scatterChart>
      <c:valAx>
        <c:axId val="105740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7401168"/>
        <c:crosses val="autoZero"/>
        <c:crossBetween val="midCat"/>
      </c:valAx>
      <c:valAx>
        <c:axId val="10574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740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´Prueba</a:t>
            </a:r>
            <a:r>
              <a:rPr lang="es-US" baseline="0"/>
              <a:t> de carga lateral 2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W8X10'!$K$45:$K$54</c:f>
              <c:numCache>
                <c:formatCode>0.000</c:formatCode>
                <c:ptCount val="10"/>
                <c:pt idx="0">
                  <c:v>0</c:v>
                </c:pt>
                <c:pt idx="1">
                  <c:v>1.0611764705882354</c:v>
                </c:pt>
                <c:pt idx="2">
                  <c:v>1.5049411764705882</c:v>
                </c:pt>
                <c:pt idx="3">
                  <c:v>2.1368235294117643</c:v>
                </c:pt>
                <c:pt idx="4">
                  <c:v>3.3234117647058823</c:v>
                </c:pt>
                <c:pt idx="5">
                  <c:v>4.6209411764705886</c:v>
                </c:pt>
                <c:pt idx="6">
                  <c:v>5.5663529411764703</c:v>
                </c:pt>
                <c:pt idx="7">
                  <c:v>6.7047058823529415</c:v>
                </c:pt>
                <c:pt idx="8">
                  <c:v>8.0552941176470583</c:v>
                </c:pt>
                <c:pt idx="9">
                  <c:v>9.9847058823529409</c:v>
                </c:pt>
              </c:numCache>
            </c:numRef>
          </c:xVal>
          <c:yVal>
            <c:numRef>
              <c:f>'Interpolación para W8X10'!$L$45:$L$54</c:f>
              <c:numCache>
                <c:formatCode>General</c:formatCode>
                <c:ptCount val="10"/>
                <c:pt idx="0">
                  <c:v>0</c:v>
                </c:pt>
                <c:pt idx="1">
                  <c:v>642.68292682926835</c:v>
                </c:pt>
                <c:pt idx="2">
                  <c:v>1140.2439024390244</c:v>
                </c:pt>
                <c:pt idx="3">
                  <c:v>1509.2682926829268</c:v>
                </c:pt>
                <c:pt idx="4">
                  <c:v>2156.0975609756097</c:v>
                </c:pt>
                <c:pt idx="5">
                  <c:v>2628.7804878048782</c:v>
                </c:pt>
                <c:pt idx="6">
                  <c:v>3030.9756097560976</c:v>
                </c:pt>
                <c:pt idx="7">
                  <c:v>3429.0243902439024</c:v>
                </c:pt>
                <c:pt idx="8">
                  <c:v>3874.7560975609758</c:v>
                </c:pt>
                <c:pt idx="9">
                  <c:v>4295.6097560975613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FA-4F73-AAA4-46F92FEC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70320"/>
        <c:axId val="1056771280"/>
      </c:scatterChart>
      <c:valAx>
        <c:axId val="105677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6771280"/>
        <c:crosses val="autoZero"/>
        <c:crossBetween val="midCat"/>
      </c:valAx>
      <c:valAx>
        <c:axId val="10567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677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tensión vertical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W8X10'!$T$12:$T$18</c:f>
              <c:numCache>
                <c:formatCode>0.000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1.6</c:v>
                </c:pt>
                <c:pt idx="4">
                  <c:v>7.73</c:v>
                </c:pt>
                <c:pt idx="5">
                  <c:v>18.87</c:v>
                </c:pt>
                <c:pt idx="6">
                  <c:v>25.49</c:v>
                </c:pt>
              </c:numCache>
            </c:numRef>
          </c:xVal>
          <c:yVal>
            <c:numRef>
              <c:f>'Interpolación para W8X10'!$U$12:$U$18</c:f>
              <c:numCache>
                <c:formatCode>General</c:formatCode>
                <c:ptCount val="7"/>
                <c:pt idx="0">
                  <c:v>0</c:v>
                </c:pt>
                <c:pt idx="1">
                  <c:v>733.90243902439022</c:v>
                </c:pt>
                <c:pt idx="2">
                  <c:v>1202.439024390244</c:v>
                </c:pt>
                <c:pt idx="3">
                  <c:v>1577.6829268292684</c:v>
                </c:pt>
                <c:pt idx="4">
                  <c:v>2363.4146341463415</c:v>
                </c:pt>
                <c:pt idx="5">
                  <c:v>2848.5365853658536</c:v>
                </c:pt>
                <c:pt idx="6">
                  <c:v>2906.5853658536585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9-42F9-9071-5215E83D0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564351"/>
        <c:axId val="1438564831"/>
      </c:scatterChart>
      <c:valAx>
        <c:axId val="143856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8564831"/>
        <c:crosses val="autoZero"/>
        <c:crossBetween val="midCat"/>
      </c:valAx>
      <c:valAx>
        <c:axId val="14385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856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compresión vertical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W8X10'!$T$30:$T$32</c:f>
              <c:numCache>
                <c:formatCode>0.00</c:formatCode>
                <c:ptCount val="3"/>
                <c:pt idx="0">
                  <c:v>0</c:v>
                </c:pt>
                <c:pt idx="1">
                  <c:v>10.46</c:v>
                </c:pt>
                <c:pt idx="2">
                  <c:v>25.8</c:v>
                </c:pt>
              </c:numCache>
            </c:numRef>
          </c:xVal>
          <c:yVal>
            <c:numRef>
              <c:f>'Interpolación para W8X10'!$U$30:$U$32</c:f>
              <c:numCache>
                <c:formatCode>0.00</c:formatCode>
                <c:ptCount val="3"/>
                <c:pt idx="0">
                  <c:v>0</c:v>
                </c:pt>
                <c:pt idx="1">
                  <c:v>688.29268292682934</c:v>
                </c:pt>
                <c:pt idx="2">
                  <c:v>870.73170731707319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01-4F71-BB0A-1903075E2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491199"/>
        <c:axId val="1403493119"/>
      </c:scatterChart>
      <c:valAx>
        <c:axId val="140349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3493119"/>
        <c:crosses val="autoZero"/>
        <c:crossBetween val="midCat"/>
      </c:valAx>
      <c:valAx>
        <c:axId val="14034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349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carga lateral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W8X10'!$T$45:$T$54</c:f>
              <c:numCache>
                <c:formatCode>General</c:formatCode>
                <c:ptCount val="10"/>
                <c:pt idx="0">
                  <c:v>0</c:v>
                </c:pt>
                <c:pt idx="1">
                  <c:v>3.08</c:v>
                </c:pt>
                <c:pt idx="2">
                  <c:v>4.28</c:v>
                </c:pt>
                <c:pt idx="3">
                  <c:v>6.64</c:v>
                </c:pt>
                <c:pt idx="4">
                  <c:v>10.4</c:v>
                </c:pt>
                <c:pt idx="5">
                  <c:v>14.12</c:v>
                </c:pt>
                <c:pt idx="6">
                  <c:v>16.899999999999999</c:v>
                </c:pt>
                <c:pt idx="7">
                  <c:v>20.5</c:v>
                </c:pt>
                <c:pt idx="8">
                  <c:v>24.6</c:v>
                </c:pt>
                <c:pt idx="9">
                  <c:v>25.3</c:v>
                </c:pt>
              </c:numCache>
            </c:numRef>
          </c:xVal>
          <c:yVal>
            <c:numRef>
              <c:f>'Interpolación para W8X10'!$U$45:$U$54</c:f>
              <c:numCache>
                <c:formatCode>General</c:formatCode>
                <c:ptCount val="10"/>
                <c:pt idx="0">
                  <c:v>0</c:v>
                </c:pt>
                <c:pt idx="1">
                  <c:v>663.41463414634154</c:v>
                </c:pt>
                <c:pt idx="2">
                  <c:v>1098.780487804878</c:v>
                </c:pt>
                <c:pt idx="3">
                  <c:v>1538.2926829268292</c:v>
                </c:pt>
                <c:pt idx="4">
                  <c:v>2147.8048780487807</c:v>
                </c:pt>
                <c:pt idx="5">
                  <c:v>2653.6585365853662</c:v>
                </c:pt>
                <c:pt idx="6">
                  <c:v>3037.1951219512198</c:v>
                </c:pt>
                <c:pt idx="7">
                  <c:v>3387.560975609756</c:v>
                </c:pt>
                <c:pt idx="8">
                  <c:v>3814.6341463414637</c:v>
                </c:pt>
                <c:pt idx="9">
                  <c:v>4013.6585365853662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3-48EB-AC11-60843D255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53567"/>
        <c:axId val="1483455487"/>
      </c:scatterChart>
      <c:valAx>
        <c:axId val="148345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83455487"/>
        <c:crosses val="autoZero"/>
        <c:crossBetween val="midCat"/>
      </c:valAx>
      <c:valAx>
        <c:axId val="148345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vertical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8345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Comparativa correlación</a:t>
            </a:r>
            <a:r>
              <a:rPr lang="es-US" baseline="0"/>
              <a:t> pruebas de compresión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Interpolación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4-4197-9FB5-CDF23D2E3F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'Interpolación para W8X10'!$C$30:$C$32</c:f>
              <c:numCache>
                <c:formatCode>0.000</c:formatCode>
                <c:ptCount val="3"/>
                <c:pt idx="0">
                  <c:v>0</c:v>
                </c:pt>
                <c:pt idx="1">
                  <c:v>12.18</c:v>
                </c:pt>
                <c:pt idx="2">
                  <c:v>25.8</c:v>
                </c:pt>
              </c:numCache>
            </c:numRef>
          </c:xVal>
          <c:yVal>
            <c:numRef>
              <c:f>'Interpolación para W8X10'!$D$30:$D$32</c:f>
              <c:numCache>
                <c:formatCode>General</c:formatCode>
                <c:ptCount val="3"/>
                <c:pt idx="0">
                  <c:v>0</c:v>
                </c:pt>
                <c:pt idx="1">
                  <c:v>709.02439024390242</c:v>
                </c:pt>
                <c:pt idx="2">
                  <c:v>881.09756097560978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04-4197-9FB5-CDF23D2E3F2C}"/>
            </c:ext>
          </c:extLst>
        </c:ser>
        <c:ser>
          <c:idx val="1"/>
          <c:order val="1"/>
          <c:tx>
            <c:v>Interpolación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'Interpolación para W8X10'!$K$30:$K$34</c:f>
              <c:numCache>
                <c:formatCode>0.000</c:formatCode>
                <c:ptCount val="5"/>
                <c:pt idx="0">
                  <c:v>0</c:v>
                </c:pt>
                <c:pt idx="1">
                  <c:v>1.07</c:v>
                </c:pt>
                <c:pt idx="2">
                  <c:v>3.16</c:v>
                </c:pt>
                <c:pt idx="3">
                  <c:v>6.78</c:v>
                </c:pt>
                <c:pt idx="4">
                  <c:v>25.5</c:v>
                </c:pt>
              </c:numCache>
            </c:numRef>
          </c:xVal>
          <c:yVal>
            <c:numRef>
              <c:f>'Interpolación para W8X10'!$L$30:$L$34</c:f>
              <c:numCache>
                <c:formatCode>General</c:formatCode>
                <c:ptCount val="5"/>
                <c:pt idx="0">
                  <c:v>0</c:v>
                </c:pt>
                <c:pt idx="1">
                  <c:v>833.41463414634154</c:v>
                </c:pt>
                <c:pt idx="2">
                  <c:v>1281.219512195122</c:v>
                </c:pt>
                <c:pt idx="3">
                  <c:v>1693.780487804878</c:v>
                </c:pt>
                <c:pt idx="4">
                  <c:v>2168.5365853658536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04-4197-9FB5-CDF23D2E3F2C}"/>
            </c:ext>
          </c:extLst>
        </c:ser>
        <c:ser>
          <c:idx val="2"/>
          <c:order val="2"/>
          <c:tx>
            <c:v>Interpolación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'Interpolación para W8X10'!$T$30:$T$32</c:f>
              <c:numCache>
                <c:formatCode>0.00</c:formatCode>
                <c:ptCount val="3"/>
                <c:pt idx="0">
                  <c:v>0</c:v>
                </c:pt>
                <c:pt idx="1">
                  <c:v>10.46</c:v>
                </c:pt>
                <c:pt idx="2">
                  <c:v>25.8</c:v>
                </c:pt>
              </c:numCache>
            </c:numRef>
          </c:xVal>
          <c:yVal>
            <c:numRef>
              <c:f>'Interpolación para W8X10'!$U$30:$U$32</c:f>
              <c:numCache>
                <c:formatCode>0.00</c:formatCode>
                <c:ptCount val="3"/>
                <c:pt idx="0">
                  <c:v>0</c:v>
                </c:pt>
                <c:pt idx="1">
                  <c:v>688.29268292682934</c:v>
                </c:pt>
                <c:pt idx="2">
                  <c:v>870.73170731707319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04-4197-9FB5-CDF23D2E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007119"/>
        <c:axId val="1310000879"/>
      </c:scatterChart>
      <c:valAx>
        <c:axId val="131000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310000879"/>
        <c:crosses val="autoZero"/>
        <c:crossBetween val="midCat"/>
      </c:valAx>
      <c:valAx>
        <c:axId val="13100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Carga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31000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Comparatica</a:t>
            </a:r>
            <a:r>
              <a:rPr lang="es-US" baseline="0"/>
              <a:t> correlación pruebas de tensión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Interpolación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W8X10'!$C$13:$C$18</c:f>
              <c:numCache>
                <c:formatCode>0.000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2.4</c:v>
                </c:pt>
                <c:pt idx="3">
                  <c:v>4.74</c:v>
                </c:pt>
                <c:pt idx="4">
                  <c:v>12.09</c:v>
                </c:pt>
                <c:pt idx="5">
                  <c:v>25.59</c:v>
                </c:pt>
              </c:numCache>
            </c:numRef>
          </c:xVal>
          <c:yVal>
            <c:numRef>
              <c:f>'Interpolación para W8X10'!$D$13:$D$18</c:f>
              <c:numCache>
                <c:formatCode>General</c:formatCode>
                <c:ptCount val="6"/>
                <c:pt idx="0">
                  <c:v>0</c:v>
                </c:pt>
                <c:pt idx="1">
                  <c:v>675.85365853658539</c:v>
                </c:pt>
                <c:pt idx="2">
                  <c:v>1281.219512195122</c:v>
                </c:pt>
                <c:pt idx="3">
                  <c:v>1785</c:v>
                </c:pt>
                <c:pt idx="4">
                  <c:v>2139.5121951219512</c:v>
                </c:pt>
                <c:pt idx="5">
                  <c:v>2413.1707317073174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D0-40BB-AD1D-B806B88E2612}"/>
            </c:ext>
          </c:extLst>
        </c:ser>
        <c:ser>
          <c:idx val="1"/>
          <c:order val="1"/>
          <c:tx>
            <c:v>Interpolación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'Interpolación para W8X10'!$K$13:$K$22</c:f>
              <c:numCache>
                <c:formatCode>0.00</c:formatCode>
                <c:ptCount val="10"/>
                <c:pt idx="0">
                  <c:v>0</c:v>
                </c:pt>
                <c:pt idx="1">
                  <c:v>0.09</c:v>
                </c:pt>
                <c:pt idx="2">
                  <c:v>0.23</c:v>
                </c:pt>
                <c:pt idx="3">
                  <c:v>0.71</c:v>
                </c:pt>
                <c:pt idx="4">
                  <c:v>1.1100000000000001</c:v>
                </c:pt>
                <c:pt idx="5">
                  <c:v>2.16</c:v>
                </c:pt>
                <c:pt idx="6">
                  <c:v>3.51</c:v>
                </c:pt>
                <c:pt idx="7">
                  <c:v>6.53</c:v>
                </c:pt>
                <c:pt idx="8">
                  <c:v>14.79</c:v>
                </c:pt>
                <c:pt idx="9">
                  <c:v>25.65</c:v>
                </c:pt>
              </c:numCache>
            </c:numRef>
          </c:xVal>
          <c:yVal>
            <c:numRef>
              <c:f>'Interpolación para W8X10'!$L$13:$L$22</c:f>
              <c:numCache>
                <c:formatCode>General</c:formatCode>
                <c:ptCount val="10"/>
                <c:pt idx="0">
                  <c:v>0</c:v>
                </c:pt>
                <c:pt idx="1">
                  <c:v>833.41463414634154</c:v>
                </c:pt>
                <c:pt idx="2">
                  <c:v>1281.219512195122</c:v>
                </c:pt>
                <c:pt idx="3">
                  <c:v>1693.780487804878</c:v>
                </c:pt>
                <c:pt idx="4">
                  <c:v>2168.5365853658536</c:v>
                </c:pt>
                <c:pt idx="5">
                  <c:v>2699.268292682927</c:v>
                </c:pt>
                <c:pt idx="6">
                  <c:v>3006.0975609756097</c:v>
                </c:pt>
                <c:pt idx="7">
                  <c:v>3424.8780487804879</c:v>
                </c:pt>
                <c:pt idx="8">
                  <c:v>3860.2439024390246</c:v>
                </c:pt>
                <c:pt idx="9">
                  <c:v>4005.3658536585367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D0-40BB-AD1D-B806B88E2612}"/>
            </c:ext>
          </c:extLst>
        </c:ser>
        <c:ser>
          <c:idx val="2"/>
          <c:order val="2"/>
          <c:tx>
            <c:v>Interpolación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'Interpolación para W8X10'!$T$12:$T$18</c:f>
              <c:numCache>
                <c:formatCode>0.000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1.6</c:v>
                </c:pt>
                <c:pt idx="4">
                  <c:v>7.73</c:v>
                </c:pt>
                <c:pt idx="5">
                  <c:v>18.87</c:v>
                </c:pt>
                <c:pt idx="6">
                  <c:v>25.49</c:v>
                </c:pt>
              </c:numCache>
            </c:numRef>
          </c:xVal>
          <c:yVal>
            <c:numRef>
              <c:f>'Interpolación para W8X10'!$U$12:$U$18</c:f>
              <c:numCache>
                <c:formatCode>General</c:formatCode>
                <c:ptCount val="7"/>
                <c:pt idx="0">
                  <c:v>0</c:v>
                </c:pt>
                <c:pt idx="1">
                  <c:v>733.90243902439022</c:v>
                </c:pt>
                <c:pt idx="2">
                  <c:v>1202.439024390244</c:v>
                </c:pt>
                <c:pt idx="3">
                  <c:v>1577.6829268292684</c:v>
                </c:pt>
                <c:pt idx="4">
                  <c:v>2363.4146341463415</c:v>
                </c:pt>
                <c:pt idx="5">
                  <c:v>2848.5365853658536</c:v>
                </c:pt>
                <c:pt idx="6">
                  <c:v>2906.5853658536585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D0-40BB-AD1D-B806B88E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615455"/>
        <c:axId val="1510623135"/>
      </c:scatterChart>
      <c:valAx>
        <c:axId val="15106154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10623135"/>
        <c:crosses val="autoZero"/>
        <c:crossBetween val="midCat"/>
      </c:valAx>
      <c:valAx>
        <c:axId val="151062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Carga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1061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Comparatica correlaciín prueba de carga lateral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Interpolación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W8X10'!$C$45:$C$51</c:f>
              <c:numCache>
                <c:formatCode>General</c:formatCode>
                <c:ptCount val="7"/>
                <c:pt idx="0">
                  <c:v>0</c:v>
                </c:pt>
                <c:pt idx="1">
                  <c:v>4.4400000000000004</c:v>
                </c:pt>
                <c:pt idx="2">
                  <c:v>6.64</c:v>
                </c:pt>
                <c:pt idx="3">
                  <c:v>10.11</c:v>
                </c:pt>
                <c:pt idx="4">
                  <c:v>17.260000000000002</c:v>
                </c:pt>
                <c:pt idx="5">
                  <c:v>24.6</c:v>
                </c:pt>
                <c:pt idx="6">
                  <c:v>25.57</c:v>
                </c:pt>
              </c:numCache>
            </c:numRef>
          </c:xVal>
          <c:yVal>
            <c:numRef>
              <c:f>'Interpolación para W8X10'!$D$45:$D$51</c:f>
              <c:numCache>
                <c:formatCode>General</c:formatCode>
                <c:ptCount val="7"/>
                <c:pt idx="0">
                  <c:v>0</c:v>
                </c:pt>
                <c:pt idx="1">
                  <c:v>725.60975609756099</c:v>
                </c:pt>
                <c:pt idx="2">
                  <c:v>1086.3414634146343</c:v>
                </c:pt>
                <c:pt idx="3">
                  <c:v>1488.5365853658536</c:v>
                </c:pt>
                <c:pt idx="4">
                  <c:v>2135.3658536585367</c:v>
                </c:pt>
                <c:pt idx="5">
                  <c:v>2570.7317073170734</c:v>
                </c:pt>
                <c:pt idx="6">
                  <c:v>2736.5853658536585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A1-4D48-8C0C-6EA5C537B7A0}"/>
            </c:ext>
          </c:extLst>
        </c:ser>
        <c:ser>
          <c:idx val="1"/>
          <c:order val="1"/>
          <c:tx>
            <c:v>Interpolación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'Interpolación para W8X10'!$K$45:$K$54</c:f>
              <c:numCache>
                <c:formatCode>0.000</c:formatCode>
                <c:ptCount val="10"/>
                <c:pt idx="0">
                  <c:v>0</c:v>
                </c:pt>
                <c:pt idx="1">
                  <c:v>1.0611764705882354</c:v>
                </c:pt>
                <c:pt idx="2">
                  <c:v>1.5049411764705882</c:v>
                </c:pt>
                <c:pt idx="3">
                  <c:v>2.1368235294117643</c:v>
                </c:pt>
                <c:pt idx="4">
                  <c:v>3.3234117647058823</c:v>
                </c:pt>
                <c:pt idx="5">
                  <c:v>4.6209411764705886</c:v>
                </c:pt>
                <c:pt idx="6">
                  <c:v>5.5663529411764703</c:v>
                </c:pt>
                <c:pt idx="7">
                  <c:v>6.7047058823529415</c:v>
                </c:pt>
                <c:pt idx="8">
                  <c:v>8.0552941176470583</c:v>
                </c:pt>
                <c:pt idx="9">
                  <c:v>9.9847058823529409</c:v>
                </c:pt>
              </c:numCache>
            </c:numRef>
          </c:xVal>
          <c:yVal>
            <c:numRef>
              <c:f>'Interpolación para W8X10'!$L$45:$L$54</c:f>
              <c:numCache>
                <c:formatCode>General</c:formatCode>
                <c:ptCount val="10"/>
                <c:pt idx="0">
                  <c:v>0</c:v>
                </c:pt>
                <c:pt idx="1">
                  <c:v>642.68292682926835</c:v>
                </c:pt>
                <c:pt idx="2">
                  <c:v>1140.2439024390244</c:v>
                </c:pt>
                <c:pt idx="3">
                  <c:v>1509.2682926829268</c:v>
                </c:pt>
                <c:pt idx="4">
                  <c:v>2156.0975609756097</c:v>
                </c:pt>
                <c:pt idx="5">
                  <c:v>2628.7804878048782</c:v>
                </c:pt>
                <c:pt idx="6">
                  <c:v>3030.9756097560976</c:v>
                </c:pt>
                <c:pt idx="7">
                  <c:v>3429.0243902439024</c:v>
                </c:pt>
                <c:pt idx="8">
                  <c:v>3874.7560975609758</c:v>
                </c:pt>
                <c:pt idx="9">
                  <c:v>4295.6097560975613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A1-4D48-8C0C-6EA5C537B7A0}"/>
            </c:ext>
          </c:extLst>
        </c:ser>
        <c:ser>
          <c:idx val="2"/>
          <c:order val="2"/>
          <c:tx>
            <c:v>Interpolación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'Interpolación para W8X10'!$T$45:$T$54</c:f>
              <c:numCache>
                <c:formatCode>General</c:formatCode>
                <c:ptCount val="10"/>
                <c:pt idx="0">
                  <c:v>0</c:v>
                </c:pt>
                <c:pt idx="1">
                  <c:v>3.08</c:v>
                </c:pt>
                <c:pt idx="2">
                  <c:v>4.28</c:v>
                </c:pt>
                <c:pt idx="3">
                  <c:v>6.64</c:v>
                </c:pt>
                <c:pt idx="4">
                  <c:v>10.4</c:v>
                </c:pt>
                <c:pt idx="5">
                  <c:v>14.12</c:v>
                </c:pt>
                <c:pt idx="6">
                  <c:v>16.899999999999999</c:v>
                </c:pt>
                <c:pt idx="7">
                  <c:v>20.5</c:v>
                </c:pt>
                <c:pt idx="8">
                  <c:v>24.6</c:v>
                </c:pt>
                <c:pt idx="9">
                  <c:v>25.3</c:v>
                </c:pt>
              </c:numCache>
            </c:numRef>
          </c:xVal>
          <c:yVal>
            <c:numRef>
              <c:f>'Interpolación para W8X10'!$U$45:$U$54</c:f>
              <c:numCache>
                <c:formatCode>General</c:formatCode>
                <c:ptCount val="10"/>
                <c:pt idx="0">
                  <c:v>0</c:v>
                </c:pt>
                <c:pt idx="1">
                  <c:v>663.41463414634154</c:v>
                </c:pt>
                <c:pt idx="2">
                  <c:v>1098.780487804878</c:v>
                </c:pt>
                <c:pt idx="3">
                  <c:v>1538.2926829268292</c:v>
                </c:pt>
                <c:pt idx="4">
                  <c:v>2147.8048780487807</c:v>
                </c:pt>
                <c:pt idx="5">
                  <c:v>2653.6585365853662</c:v>
                </c:pt>
                <c:pt idx="6">
                  <c:v>3037.1951219512198</c:v>
                </c:pt>
                <c:pt idx="7">
                  <c:v>3387.560975609756</c:v>
                </c:pt>
                <c:pt idx="8">
                  <c:v>3814.6341463414637</c:v>
                </c:pt>
                <c:pt idx="9">
                  <c:v>4013.6585365853662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A1-4D48-8C0C-6EA5C537B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173567"/>
        <c:axId val="1504174047"/>
      </c:scatterChart>
      <c:valAx>
        <c:axId val="150417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4174047"/>
        <c:crosses val="autoZero"/>
        <c:crossBetween val="midCat"/>
      </c:valAx>
      <c:valAx>
        <c:axId val="150417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Carga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417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de tensión vertical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'Interpolación para W8X15'!$D$12</c:f>
              <c:strCache>
                <c:ptCount val="1"/>
                <c:pt idx="0">
                  <c:v>Fuerza [kg]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'Interpolación para W8X15'!$C$13:$C$18</c:f>
              <c:numCache>
                <c:formatCode>0.000</c:formatCode>
                <c:ptCount val="6"/>
                <c:pt idx="0">
                  <c:v>0</c:v>
                </c:pt>
                <c:pt idx="1">
                  <c:v>0.1941747572815534</c:v>
                </c:pt>
                <c:pt idx="2">
                  <c:v>1.8640776699029125</c:v>
                </c:pt>
                <c:pt idx="3">
                  <c:v>3.6815533980582522</c:v>
                </c:pt>
                <c:pt idx="4">
                  <c:v>9.3902912621359214</c:v>
                </c:pt>
                <c:pt idx="5">
                  <c:v>19.875728155339804</c:v>
                </c:pt>
              </c:numCache>
            </c:numRef>
          </c:xVal>
          <c:yVal>
            <c:numRef>
              <c:f>'Interpolación para W8X15'!$D$13:$D$18</c:f>
              <c:numCache>
                <c:formatCode>General</c:formatCode>
                <c:ptCount val="6"/>
                <c:pt idx="0">
                  <c:v>0</c:v>
                </c:pt>
                <c:pt idx="1">
                  <c:v>326</c:v>
                </c:pt>
                <c:pt idx="2">
                  <c:v>618</c:v>
                </c:pt>
                <c:pt idx="3">
                  <c:v>861</c:v>
                </c:pt>
                <c:pt idx="4">
                  <c:v>1032</c:v>
                </c:pt>
                <c:pt idx="5">
                  <c:v>1164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A5-48C1-ADDA-A76FF9508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719871"/>
        <c:axId val="1281703551"/>
      </c:scatterChart>
      <c:valAx>
        <c:axId val="128171987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81703551"/>
        <c:crosses val="autoZero"/>
        <c:crossBetween val="midCat"/>
      </c:valAx>
      <c:valAx>
        <c:axId val="128170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8171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compresión vertical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'Interpolación para W8X15'!$D$29</c:f>
              <c:strCache>
                <c:ptCount val="1"/>
                <c:pt idx="0">
                  <c:v>Fuerza [kg]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'Interpolación para W8X15'!$C$30:$C$32</c:f>
              <c:numCache>
                <c:formatCode>0.000</c:formatCode>
                <c:ptCount val="3"/>
                <c:pt idx="0">
                  <c:v>0</c:v>
                </c:pt>
                <c:pt idx="1">
                  <c:v>9.4601941747572802</c:v>
                </c:pt>
                <c:pt idx="2">
                  <c:v>20.038834951456309</c:v>
                </c:pt>
              </c:numCache>
            </c:numRef>
          </c:xVal>
          <c:yVal>
            <c:numRef>
              <c:f>'Interpolación para W8X15'!$D$30:$D$32</c:f>
              <c:numCache>
                <c:formatCode>0.00</c:formatCode>
                <c:ptCount val="3"/>
                <c:pt idx="0">
                  <c:v>0</c:v>
                </c:pt>
                <c:pt idx="1">
                  <c:v>709.02439024390242</c:v>
                </c:pt>
                <c:pt idx="2">
                  <c:v>881.09756097560978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52-4A47-ABB8-EF97E665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691375"/>
        <c:axId val="1435175359"/>
      </c:scatterChart>
      <c:valAx>
        <c:axId val="143769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5175359"/>
        <c:crosses val="autoZero"/>
        <c:crossBetween val="midCat"/>
      </c:valAx>
      <c:valAx>
        <c:axId val="143517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 Aplicada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769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carga lateral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W8X15'!$C$45:$C$51</c:f>
              <c:numCache>
                <c:formatCode>0.000</c:formatCode>
                <c:ptCount val="7"/>
                <c:pt idx="0" formatCode="General">
                  <c:v>0</c:v>
                </c:pt>
                <c:pt idx="1">
                  <c:v>3.4485436893203882</c:v>
                </c:pt>
                <c:pt idx="2">
                  <c:v>5.1572815533980574</c:v>
                </c:pt>
                <c:pt idx="3">
                  <c:v>7.8524271844660181</c:v>
                </c:pt>
                <c:pt idx="4">
                  <c:v>13.405825242718446</c:v>
                </c:pt>
                <c:pt idx="5">
                  <c:v>19.106796116504853</c:v>
                </c:pt>
                <c:pt idx="6">
                  <c:v>19.860194174757279</c:v>
                </c:pt>
              </c:numCache>
            </c:numRef>
          </c:xVal>
          <c:yVal>
            <c:numRef>
              <c:f>'Interpolación para W8X15'!$D$45:$D$51</c:f>
              <c:numCache>
                <c:formatCode>0.000</c:formatCode>
                <c:ptCount val="7"/>
                <c:pt idx="0">
                  <c:v>0</c:v>
                </c:pt>
                <c:pt idx="1">
                  <c:v>725.60975609756099</c:v>
                </c:pt>
                <c:pt idx="2">
                  <c:v>1086.3414634146343</c:v>
                </c:pt>
                <c:pt idx="3">
                  <c:v>1488.5365853658536</c:v>
                </c:pt>
                <c:pt idx="4">
                  <c:v>2135.3658536585367</c:v>
                </c:pt>
                <c:pt idx="5">
                  <c:v>2570.7317073170734</c:v>
                </c:pt>
                <c:pt idx="6">
                  <c:v>2736.5853658536585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19-42BC-9CFC-A2B6FC7A9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40015"/>
        <c:axId val="1274140495"/>
      </c:scatterChart>
      <c:valAx>
        <c:axId val="12741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74140495"/>
        <c:crosses val="autoZero"/>
        <c:crossBetween val="midCat"/>
      </c:valAx>
      <c:valAx>
        <c:axId val="12741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2741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tensión vertical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W8X15'!$K$13:$K$22</c:f>
              <c:numCache>
                <c:formatCode>0.00</c:formatCode>
                <c:ptCount val="10"/>
                <c:pt idx="0">
                  <c:v>0</c:v>
                </c:pt>
                <c:pt idx="1">
                  <c:v>6.9902912621359212E-2</c:v>
                </c:pt>
                <c:pt idx="2">
                  <c:v>0.17864077669902911</c:v>
                </c:pt>
                <c:pt idx="3">
                  <c:v>0.55145631067961154</c:v>
                </c:pt>
                <c:pt idx="4">
                  <c:v>0.86213592233009706</c:v>
                </c:pt>
                <c:pt idx="5">
                  <c:v>1.6776699029126214</c:v>
                </c:pt>
                <c:pt idx="6">
                  <c:v>2.7262135922330093</c:v>
                </c:pt>
                <c:pt idx="7">
                  <c:v>5.0718446601941745</c:v>
                </c:pt>
                <c:pt idx="8">
                  <c:v>11.487378640776697</c:v>
                </c:pt>
                <c:pt idx="9">
                  <c:v>19.922330097087375</c:v>
                </c:pt>
              </c:numCache>
            </c:numRef>
          </c:xVal>
          <c:yVal>
            <c:numRef>
              <c:f>'Interpolación para W8X15'!$L$13:$L$22</c:f>
              <c:numCache>
                <c:formatCode>0.00</c:formatCode>
                <c:ptCount val="10"/>
                <c:pt idx="0">
                  <c:v>0</c:v>
                </c:pt>
                <c:pt idx="1">
                  <c:v>833.41463414634154</c:v>
                </c:pt>
                <c:pt idx="2">
                  <c:v>1281.219512195122</c:v>
                </c:pt>
                <c:pt idx="3">
                  <c:v>1693.780487804878</c:v>
                </c:pt>
                <c:pt idx="4">
                  <c:v>2168.5365853658536</c:v>
                </c:pt>
                <c:pt idx="5">
                  <c:v>2699.268292682927</c:v>
                </c:pt>
                <c:pt idx="6">
                  <c:v>3006.0975609756097</c:v>
                </c:pt>
                <c:pt idx="7">
                  <c:v>3424.8780487804879</c:v>
                </c:pt>
                <c:pt idx="8">
                  <c:v>3860.2439024390246</c:v>
                </c:pt>
                <c:pt idx="9">
                  <c:v>4005.3658536585367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62-4B1D-BE6E-97C92BFBC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905439"/>
        <c:axId val="1433903039"/>
      </c:scatterChart>
      <c:valAx>
        <c:axId val="14339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3903039"/>
        <c:crosses val="autoZero"/>
        <c:crossBetween val="midCat"/>
      </c:valAx>
      <c:valAx>
        <c:axId val="14339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 aplicada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390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</a:t>
            </a:r>
            <a:r>
              <a:rPr lang="es-US" baseline="0"/>
              <a:t> de compresión vertical 2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W8X15'!$K$30:$K$34</c:f>
              <c:numCache>
                <c:formatCode>0.000</c:formatCode>
                <c:ptCount val="5"/>
                <c:pt idx="0">
                  <c:v>0</c:v>
                </c:pt>
                <c:pt idx="1">
                  <c:v>0.83106796116504855</c:v>
                </c:pt>
                <c:pt idx="2">
                  <c:v>2.4543689320388351</c:v>
                </c:pt>
                <c:pt idx="3">
                  <c:v>5.2660194174757278</c:v>
                </c:pt>
                <c:pt idx="4">
                  <c:v>19.805825242718445</c:v>
                </c:pt>
              </c:numCache>
            </c:numRef>
          </c:xVal>
          <c:yVal>
            <c:numRef>
              <c:f>'Interpolación para W8X15'!$L$30:$L$34</c:f>
              <c:numCache>
                <c:formatCode>0.00</c:formatCode>
                <c:ptCount val="5"/>
                <c:pt idx="0">
                  <c:v>0</c:v>
                </c:pt>
                <c:pt idx="1">
                  <c:v>723.53658536585363</c:v>
                </c:pt>
                <c:pt idx="2">
                  <c:v>1078.0487804878048</c:v>
                </c:pt>
                <c:pt idx="3">
                  <c:v>1619.1463414634147</c:v>
                </c:pt>
                <c:pt idx="4">
                  <c:v>2040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A6-47B3-AFCA-D596282E7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400688"/>
        <c:axId val="1057401168"/>
      </c:scatterChart>
      <c:valAx>
        <c:axId val="105740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7401168"/>
        <c:crosses val="autoZero"/>
        <c:crossBetween val="midCat"/>
      </c:valAx>
      <c:valAx>
        <c:axId val="10574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740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´Prueba</a:t>
            </a:r>
            <a:r>
              <a:rPr lang="es-US" baseline="0"/>
              <a:t> de carga lateral 2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W8X15'!$K$45:$K$54</c:f>
              <c:numCache>
                <c:formatCode>0.000</c:formatCode>
                <c:ptCount val="10"/>
                <c:pt idx="0">
                  <c:v>0</c:v>
                </c:pt>
                <c:pt idx="1">
                  <c:v>1.70873786407767</c:v>
                </c:pt>
                <c:pt idx="2">
                  <c:v>2.4233009708737865</c:v>
                </c:pt>
                <c:pt idx="3">
                  <c:v>3.4407766990291258</c:v>
                </c:pt>
                <c:pt idx="4">
                  <c:v>5.3514563106796107</c:v>
                </c:pt>
                <c:pt idx="5">
                  <c:v>7.4407766990291258</c:v>
                </c:pt>
                <c:pt idx="6">
                  <c:v>8.9631067961165041</c:v>
                </c:pt>
                <c:pt idx="7">
                  <c:v>10.796116504854368</c:v>
                </c:pt>
                <c:pt idx="8">
                  <c:v>12.970873786407765</c:v>
                </c:pt>
                <c:pt idx="9">
                  <c:v>16.077669902912621</c:v>
                </c:pt>
              </c:numCache>
            </c:numRef>
          </c:xVal>
          <c:yVal>
            <c:numRef>
              <c:f>'Interpolación para W8X15'!$L$45:$L$54</c:f>
              <c:numCache>
                <c:formatCode>0.00</c:formatCode>
                <c:ptCount val="10"/>
                <c:pt idx="0">
                  <c:v>0</c:v>
                </c:pt>
                <c:pt idx="1">
                  <c:v>642.68292682926835</c:v>
                </c:pt>
                <c:pt idx="2">
                  <c:v>1140.2439024390244</c:v>
                </c:pt>
                <c:pt idx="3">
                  <c:v>1509.2682926829268</c:v>
                </c:pt>
                <c:pt idx="4">
                  <c:v>2156.0975609756097</c:v>
                </c:pt>
                <c:pt idx="5">
                  <c:v>2628.7804878048782</c:v>
                </c:pt>
                <c:pt idx="6">
                  <c:v>3030.9756097560976</c:v>
                </c:pt>
                <c:pt idx="7">
                  <c:v>3429.0243902439024</c:v>
                </c:pt>
                <c:pt idx="8">
                  <c:v>3874.7560975609758</c:v>
                </c:pt>
                <c:pt idx="9">
                  <c:v>4295.6097560975613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CF-4F4F-B848-5CC64F258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770320"/>
        <c:axId val="1056771280"/>
      </c:scatterChart>
      <c:valAx>
        <c:axId val="105677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6771280"/>
        <c:crosses val="autoZero"/>
        <c:crossBetween val="midCat"/>
      </c:valAx>
      <c:valAx>
        <c:axId val="10567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5677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tensión vertical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W8X15'!$T$12:$T$18</c:f>
              <c:numCache>
                <c:formatCode>0.000</c:formatCode>
                <c:ptCount val="7"/>
                <c:pt idx="0">
                  <c:v>0</c:v>
                </c:pt>
                <c:pt idx="1">
                  <c:v>0.1553398058252427</c:v>
                </c:pt>
                <c:pt idx="2">
                  <c:v>0.69902912621359226</c:v>
                </c:pt>
                <c:pt idx="3">
                  <c:v>1.2427184466019416</c:v>
                </c:pt>
                <c:pt idx="4">
                  <c:v>6.0038834951456312</c:v>
                </c:pt>
                <c:pt idx="5">
                  <c:v>14.65631067961165</c:v>
                </c:pt>
                <c:pt idx="6">
                  <c:v>19.798058252427182</c:v>
                </c:pt>
              </c:numCache>
            </c:numRef>
          </c:xVal>
          <c:yVal>
            <c:numRef>
              <c:f>'Interpolación para W8X15'!$U$12:$U$18</c:f>
              <c:numCache>
                <c:formatCode>0.00</c:formatCode>
                <c:ptCount val="7"/>
                <c:pt idx="0">
                  <c:v>0</c:v>
                </c:pt>
                <c:pt idx="1">
                  <c:v>733.90243902439022</c:v>
                </c:pt>
                <c:pt idx="2">
                  <c:v>1202.439024390244</c:v>
                </c:pt>
                <c:pt idx="3">
                  <c:v>1577.6829268292684</c:v>
                </c:pt>
                <c:pt idx="4">
                  <c:v>2363.4146341463415</c:v>
                </c:pt>
                <c:pt idx="5">
                  <c:v>2848.5365853658536</c:v>
                </c:pt>
                <c:pt idx="6">
                  <c:v>2906.5853658536585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C7-4090-95C4-DBA98B5C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564351"/>
        <c:axId val="1438564831"/>
      </c:scatterChart>
      <c:valAx>
        <c:axId val="143856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8564831"/>
        <c:crosses val="autoZero"/>
        <c:crossBetween val="midCat"/>
      </c:valAx>
      <c:valAx>
        <c:axId val="14385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3856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compresión vertical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W8X15'!$T$30:$T$32</c:f>
              <c:numCache>
                <c:formatCode>0.00</c:formatCode>
                <c:ptCount val="3"/>
                <c:pt idx="0">
                  <c:v>0</c:v>
                </c:pt>
                <c:pt idx="1">
                  <c:v>8.1242718446601945</c:v>
                </c:pt>
                <c:pt idx="2">
                  <c:v>20.038834951456309</c:v>
                </c:pt>
              </c:numCache>
            </c:numRef>
          </c:xVal>
          <c:yVal>
            <c:numRef>
              <c:f>'Interpolación para W8X15'!$U$30:$U$32</c:f>
              <c:numCache>
                <c:formatCode>0.00</c:formatCode>
                <c:ptCount val="3"/>
                <c:pt idx="0">
                  <c:v>0</c:v>
                </c:pt>
                <c:pt idx="1">
                  <c:v>688.29268292682934</c:v>
                </c:pt>
                <c:pt idx="2">
                  <c:v>870.73170731707319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5B-4A98-89E5-5CB242EA8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491199"/>
        <c:axId val="1403493119"/>
      </c:scatterChart>
      <c:valAx>
        <c:axId val="140349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3493119"/>
        <c:crosses val="autoZero"/>
        <c:crossBetween val="midCat"/>
      </c:valAx>
      <c:valAx>
        <c:axId val="14034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Fuerza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349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Prueba de carga lateral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W8X15'!$T$45:$T$54</c:f>
              <c:numCache>
                <c:formatCode>0.00</c:formatCode>
                <c:ptCount val="10"/>
                <c:pt idx="0">
                  <c:v>0</c:v>
                </c:pt>
                <c:pt idx="1">
                  <c:v>2.3922330097087379</c:v>
                </c:pt>
                <c:pt idx="2">
                  <c:v>3.3242718446601942</c:v>
                </c:pt>
                <c:pt idx="3">
                  <c:v>5.1572815533980574</c:v>
                </c:pt>
                <c:pt idx="4">
                  <c:v>8.0776699029126213</c:v>
                </c:pt>
                <c:pt idx="5">
                  <c:v>10.966990291262135</c:v>
                </c:pt>
                <c:pt idx="6">
                  <c:v>13.126213592233007</c:v>
                </c:pt>
                <c:pt idx="7">
                  <c:v>15.922330097087377</c:v>
                </c:pt>
                <c:pt idx="8">
                  <c:v>19.106796116504853</c:v>
                </c:pt>
                <c:pt idx="9">
                  <c:v>19.650485436893202</c:v>
                </c:pt>
              </c:numCache>
            </c:numRef>
          </c:xVal>
          <c:yVal>
            <c:numRef>
              <c:f>'Interpolación para W8X15'!$U$45:$U$54</c:f>
              <c:numCache>
                <c:formatCode>0.00</c:formatCode>
                <c:ptCount val="10"/>
                <c:pt idx="0">
                  <c:v>0</c:v>
                </c:pt>
                <c:pt idx="1">
                  <c:v>663.41463414634154</c:v>
                </c:pt>
                <c:pt idx="2">
                  <c:v>1098.780487804878</c:v>
                </c:pt>
                <c:pt idx="3">
                  <c:v>1538.2926829268292</c:v>
                </c:pt>
                <c:pt idx="4">
                  <c:v>2147.8048780487807</c:v>
                </c:pt>
                <c:pt idx="5">
                  <c:v>2653.6585365853662</c:v>
                </c:pt>
                <c:pt idx="6">
                  <c:v>3037.1951219512198</c:v>
                </c:pt>
                <c:pt idx="7">
                  <c:v>3387.560975609756</c:v>
                </c:pt>
                <c:pt idx="8">
                  <c:v>3814.6341463414637</c:v>
                </c:pt>
                <c:pt idx="9">
                  <c:v>4013.6585365853662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7-42F6-BBD0-89FF350DE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53567"/>
        <c:axId val="1483455487"/>
      </c:scatterChart>
      <c:valAx>
        <c:axId val="148345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83455487"/>
        <c:crosses val="autoZero"/>
        <c:crossBetween val="midCat"/>
      </c:valAx>
      <c:valAx>
        <c:axId val="148345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vertical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8345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Comparativa correlación</a:t>
            </a:r>
            <a:r>
              <a:rPr lang="es-US" baseline="0"/>
              <a:t> pruebas de compresión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Interpolación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W8X15'!$C$30:$C$32</c:f>
              <c:numCache>
                <c:formatCode>0.000</c:formatCode>
                <c:ptCount val="3"/>
                <c:pt idx="0">
                  <c:v>0</c:v>
                </c:pt>
                <c:pt idx="1">
                  <c:v>9.4601941747572802</c:v>
                </c:pt>
                <c:pt idx="2">
                  <c:v>20.038834951456309</c:v>
                </c:pt>
              </c:numCache>
            </c:numRef>
          </c:xVal>
          <c:yVal>
            <c:numRef>
              <c:f>'Interpolación para W8X15'!$D$30:$D$32</c:f>
              <c:numCache>
                <c:formatCode>0.00</c:formatCode>
                <c:ptCount val="3"/>
                <c:pt idx="0">
                  <c:v>0</c:v>
                </c:pt>
                <c:pt idx="1">
                  <c:v>709.02439024390242</c:v>
                </c:pt>
                <c:pt idx="2">
                  <c:v>881.09756097560978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F0-41FF-A966-FFE6A0A7D3B7}"/>
            </c:ext>
          </c:extLst>
        </c:ser>
        <c:ser>
          <c:idx val="1"/>
          <c:order val="1"/>
          <c:tx>
            <c:v>Interpolación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'Interpolación para W8X15'!$K$30:$K$34</c:f>
              <c:numCache>
                <c:formatCode>0.000</c:formatCode>
                <c:ptCount val="5"/>
                <c:pt idx="0">
                  <c:v>0</c:v>
                </c:pt>
                <c:pt idx="1">
                  <c:v>0.83106796116504855</c:v>
                </c:pt>
                <c:pt idx="2">
                  <c:v>2.4543689320388351</c:v>
                </c:pt>
                <c:pt idx="3">
                  <c:v>5.2660194174757278</c:v>
                </c:pt>
                <c:pt idx="4">
                  <c:v>19.805825242718445</c:v>
                </c:pt>
              </c:numCache>
            </c:numRef>
          </c:xVal>
          <c:yVal>
            <c:numRef>
              <c:f>'Interpolación para W8X15'!$L$30:$L$34</c:f>
              <c:numCache>
                <c:formatCode>0.00</c:formatCode>
                <c:ptCount val="5"/>
                <c:pt idx="0">
                  <c:v>0</c:v>
                </c:pt>
                <c:pt idx="1">
                  <c:v>723.53658536585363</c:v>
                </c:pt>
                <c:pt idx="2">
                  <c:v>1078.0487804878048</c:v>
                </c:pt>
                <c:pt idx="3">
                  <c:v>1619.1463414634147</c:v>
                </c:pt>
                <c:pt idx="4">
                  <c:v>2040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F0-41FF-A966-FFE6A0A7D3B7}"/>
            </c:ext>
          </c:extLst>
        </c:ser>
        <c:ser>
          <c:idx val="2"/>
          <c:order val="2"/>
          <c:tx>
            <c:v>Interpolación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'Interpolación para W8X15'!$T$30:$T$32</c:f>
              <c:numCache>
                <c:formatCode>0.00</c:formatCode>
                <c:ptCount val="3"/>
                <c:pt idx="0">
                  <c:v>0</c:v>
                </c:pt>
                <c:pt idx="1">
                  <c:v>8.1242718446601945</c:v>
                </c:pt>
                <c:pt idx="2">
                  <c:v>20.038834951456309</c:v>
                </c:pt>
              </c:numCache>
            </c:numRef>
          </c:xVal>
          <c:yVal>
            <c:numRef>
              <c:f>'Interpolación para W8X15'!$U$30:$U$32</c:f>
              <c:numCache>
                <c:formatCode>0.00</c:formatCode>
                <c:ptCount val="3"/>
                <c:pt idx="0">
                  <c:v>0</c:v>
                </c:pt>
                <c:pt idx="1">
                  <c:v>688.29268292682934</c:v>
                </c:pt>
                <c:pt idx="2">
                  <c:v>870.73170731707319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F0-41FF-A966-FFE6A0A7D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007119"/>
        <c:axId val="1310000879"/>
      </c:scatterChart>
      <c:valAx>
        <c:axId val="131000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310000879"/>
        <c:crosses val="autoZero"/>
        <c:crossBetween val="midCat"/>
      </c:valAx>
      <c:valAx>
        <c:axId val="13100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Carga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31000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Comparatica</a:t>
            </a:r>
            <a:r>
              <a:rPr lang="es-US" baseline="0"/>
              <a:t> correlación pruebas de tensión</a:t>
            </a:r>
            <a:endParaRPr lang="es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Interpolación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W8X15'!$T$12:$T$18</c:f>
              <c:numCache>
                <c:formatCode>0.000</c:formatCode>
                <c:ptCount val="7"/>
                <c:pt idx="0">
                  <c:v>0</c:v>
                </c:pt>
                <c:pt idx="1">
                  <c:v>0.1553398058252427</c:v>
                </c:pt>
                <c:pt idx="2">
                  <c:v>0.69902912621359226</c:v>
                </c:pt>
                <c:pt idx="3">
                  <c:v>1.2427184466019416</c:v>
                </c:pt>
                <c:pt idx="4">
                  <c:v>6.0038834951456312</c:v>
                </c:pt>
                <c:pt idx="5">
                  <c:v>14.65631067961165</c:v>
                </c:pt>
                <c:pt idx="6">
                  <c:v>19.798058252427182</c:v>
                </c:pt>
              </c:numCache>
            </c:numRef>
          </c:xVal>
          <c:yVal>
            <c:numRef>
              <c:f>'Interpolación para W8X15'!$U$12:$U$18</c:f>
              <c:numCache>
                <c:formatCode>0.00</c:formatCode>
                <c:ptCount val="7"/>
                <c:pt idx="0">
                  <c:v>0</c:v>
                </c:pt>
                <c:pt idx="1">
                  <c:v>733.90243902439022</c:v>
                </c:pt>
                <c:pt idx="2">
                  <c:v>1202.439024390244</c:v>
                </c:pt>
                <c:pt idx="3">
                  <c:v>1577.6829268292684</c:v>
                </c:pt>
                <c:pt idx="4">
                  <c:v>2363.4146341463415</c:v>
                </c:pt>
                <c:pt idx="5">
                  <c:v>2848.5365853658536</c:v>
                </c:pt>
                <c:pt idx="6">
                  <c:v>2906.5853658536585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F9-4A99-B850-B1B6897AFCBB}"/>
            </c:ext>
          </c:extLst>
        </c:ser>
        <c:ser>
          <c:idx val="1"/>
          <c:order val="1"/>
          <c:tx>
            <c:v>Interpolación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'Interpolación para W8X15'!$K$13:$K$22</c:f>
              <c:numCache>
                <c:formatCode>0.00</c:formatCode>
                <c:ptCount val="10"/>
                <c:pt idx="0">
                  <c:v>0</c:v>
                </c:pt>
                <c:pt idx="1">
                  <c:v>6.9902912621359212E-2</c:v>
                </c:pt>
                <c:pt idx="2">
                  <c:v>0.17864077669902911</c:v>
                </c:pt>
                <c:pt idx="3">
                  <c:v>0.55145631067961154</c:v>
                </c:pt>
                <c:pt idx="4">
                  <c:v>0.86213592233009706</c:v>
                </c:pt>
                <c:pt idx="5">
                  <c:v>1.6776699029126214</c:v>
                </c:pt>
                <c:pt idx="6">
                  <c:v>2.7262135922330093</c:v>
                </c:pt>
                <c:pt idx="7">
                  <c:v>5.0718446601941745</c:v>
                </c:pt>
                <c:pt idx="8">
                  <c:v>11.487378640776697</c:v>
                </c:pt>
                <c:pt idx="9">
                  <c:v>19.922330097087375</c:v>
                </c:pt>
              </c:numCache>
            </c:numRef>
          </c:xVal>
          <c:yVal>
            <c:numRef>
              <c:f>'Interpolación para W8X15'!$L$13:$L$22</c:f>
              <c:numCache>
                <c:formatCode>0.00</c:formatCode>
                <c:ptCount val="10"/>
                <c:pt idx="0">
                  <c:v>0</c:v>
                </c:pt>
                <c:pt idx="1">
                  <c:v>833.41463414634154</c:v>
                </c:pt>
                <c:pt idx="2">
                  <c:v>1281.219512195122</c:v>
                </c:pt>
                <c:pt idx="3">
                  <c:v>1693.780487804878</c:v>
                </c:pt>
                <c:pt idx="4">
                  <c:v>2168.5365853658536</c:v>
                </c:pt>
                <c:pt idx="5">
                  <c:v>2699.268292682927</c:v>
                </c:pt>
                <c:pt idx="6">
                  <c:v>3006.0975609756097</c:v>
                </c:pt>
                <c:pt idx="7">
                  <c:v>3424.8780487804879</c:v>
                </c:pt>
                <c:pt idx="8">
                  <c:v>3860.2439024390246</c:v>
                </c:pt>
                <c:pt idx="9">
                  <c:v>4005.3658536585367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F9-4A99-B850-B1B6897AFCBB}"/>
            </c:ext>
          </c:extLst>
        </c:ser>
        <c:ser>
          <c:idx val="2"/>
          <c:order val="2"/>
          <c:tx>
            <c:v>Interpolación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'Interpolación para W8X15'!$T$12:$T$18</c:f>
              <c:numCache>
                <c:formatCode>0.000</c:formatCode>
                <c:ptCount val="7"/>
                <c:pt idx="0">
                  <c:v>0</c:v>
                </c:pt>
                <c:pt idx="1">
                  <c:v>0.1553398058252427</c:v>
                </c:pt>
                <c:pt idx="2">
                  <c:v>0.69902912621359226</c:v>
                </c:pt>
                <c:pt idx="3">
                  <c:v>1.2427184466019416</c:v>
                </c:pt>
                <c:pt idx="4">
                  <c:v>6.0038834951456312</c:v>
                </c:pt>
                <c:pt idx="5">
                  <c:v>14.65631067961165</c:v>
                </c:pt>
                <c:pt idx="6">
                  <c:v>19.798058252427182</c:v>
                </c:pt>
              </c:numCache>
            </c:numRef>
          </c:xVal>
          <c:yVal>
            <c:numRef>
              <c:f>'Interpolación para W8X15'!$U$12:$U$18</c:f>
              <c:numCache>
                <c:formatCode>0.00</c:formatCode>
                <c:ptCount val="7"/>
                <c:pt idx="0">
                  <c:v>0</c:v>
                </c:pt>
                <c:pt idx="1">
                  <c:v>733.90243902439022</c:v>
                </c:pt>
                <c:pt idx="2">
                  <c:v>1202.439024390244</c:v>
                </c:pt>
                <c:pt idx="3">
                  <c:v>1577.6829268292684</c:v>
                </c:pt>
                <c:pt idx="4">
                  <c:v>2363.4146341463415</c:v>
                </c:pt>
                <c:pt idx="5">
                  <c:v>2848.5365853658536</c:v>
                </c:pt>
                <c:pt idx="6">
                  <c:v>2906.5853658536585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F9-4A99-B850-B1B6897A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615455"/>
        <c:axId val="1510623135"/>
      </c:scatterChart>
      <c:valAx>
        <c:axId val="15106154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10623135"/>
        <c:crosses val="autoZero"/>
        <c:crossBetween val="midCat"/>
      </c:valAx>
      <c:valAx>
        <c:axId val="151062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Carga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1061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S"/>
              <a:t>Comparatica correlaciín prueba de carga lateral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Interpolación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'Interpolación para W8X15'!$C$45:$C$51</c:f>
              <c:numCache>
                <c:formatCode>0.000</c:formatCode>
                <c:ptCount val="7"/>
                <c:pt idx="0" formatCode="General">
                  <c:v>0</c:v>
                </c:pt>
                <c:pt idx="1">
                  <c:v>3.4485436893203882</c:v>
                </c:pt>
                <c:pt idx="2">
                  <c:v>5.1572815533980574</c:v>
                </c:pt>
                <c:pt idx="3">
                  <c:v>7.8524271844660181</c:v>
                </c:pt>
                <c:pt idx="4">
                  <c:v>13.405825242718446</c:v>
                </c:pt>
                <c:pt idx="5">
                  <c:v>19.106796116504853</c:v>
                </c:pt>
                <c:pt idx="6">
                  <c:v>19.860194174757279</c:v>
                </c:pt>
              </c:numCache>
            </c:numRef>
          </c:xVal>
          <c:yVal>
            <c:numRef>
              <c:f>'Interpolación para W8X15'!$D$45:$D$51</c:f>
              <c:numCache>
                <c:formatCode>0.000</c:formatCode>
                <c:ptCount val="7"/>
                <c:pt idx="0">
                  <c:v>0</c:v>
                </c:pt>
                <c:pt idx="1">
                  <c:v>725.60975609756099</c:v>
                </c:pt>
                <c:pt idx="2">
                  <c:v>1086.3414634146343</c:v>
                </c:pt>
                <c:pt idx="3">
                  <c:v>1488.5365853658536</c:v>
                </c:pt>
                <c:pt idx="4">
                  <c:v>2135.3658536585367</c:v>
                </c:pt>
                <c:pt idx="5">
                  <c:v>2570.7317073170734</c:v>
                </c:pt>
                <c:pt idx="6">
                  <c:v>2736.5853658536585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B-48E0-B20D-5FAC7F056E51}"/>
            </c:ext>
          </c:extLst>
        </c:ser>
        <c:ser>
          <c:idx val="1"/>
          <c:order val="1"/>
          <c:tx>
            <c:v>Interpolación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'Interpolación para W8X15'!$K$45:$K$54</c:f>
              <c:numCache>
                <c:formatCode>0.000</c:formatCode>
                <c:ptCount val="10"/>
                <c:pt idx="0">
                  <c:v>0</c:v>
                </c:pt>
                <c:pt idx="1">
                  <c:v>1.70873786407767</c:v>
                </c:pt>
                <c:pt idx="2">
                  <c:v>2.4233009708737865</c:v>
                </c:pt>
                <c:pt idx="3">
                  <c:v>3.4407766990291258</c:v>
                </c:pt>
                <c:pt idx="4">
                  <c:v>5.3514563106796107</c:v>
                </c:pt>
                <c:pt idx="5">
                  <c:v>7.4407766990291258</c:v>
                </c:pt>
                <c:pt idx="6">
                  <c:v>8.9631067961165041</c:v>
                </c:pt>
                <c:pt idx="7">
                  <c:v>10.796116504854368</c:v>
                </c:pt>
                <c:pt idx="8">
                  <c:v>12.970873786407765</c:v>
                </c:pt>
                <c:pt idx="9">
                  <c:v>16.077669902912621</c:v>
                </c:pt>
              </c:numCache>
            </c:numRef>
          </c:xVal>
          <c:yVal>
            <c:numRef>
              <c:f>'Interpolación para W8X15'!$L$45:$L$54</c:f>
              <c:numCache>
                <c:formatCode>0.00</c:formatCode>
                <c:ptCount val="10"/>
                <c:pt idx="0">
                  <c:v>0</c:v>
                </c:pt>
                <c:pt idx="1">
                  <c:v>642.68292682926835</c:v>
                </c:pt>
                <c:pt idx="2">
                  <c:v>1140.2439024390244</c:v>
                </c:pt>
                <c:pt idx="3">
                  <c:v>1509.2682926829268</c:v>
                </c:pt>
                <c:pt idx="4">
                  <c:v>2156.0975609756097</c:v>
                </c:pt>
                <c:pt idx="5">
                  <c:v>2628.7804878048782</c:v>
                </c:pt>
                <c:pt idx="6">
                  <c:v>3030.9756097560976</c:v>
                </c:pt>
                <c:pt idx="7">
                  <c:v>3429.0243902439024</c:v>
                </c:pt>
                <c:pt idx="8">
                  <c:v>3874.7560975609758</c:v>
                </c:pt>
                <c:pt idx="9">
                  <c:v>4295.6097560975613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8B-48E0-B20D-5FAC7F056E51}"/>
            </c:ext>
          </c:extLst>
        </c:ser>
        <c:ser>
          <c:idx val="2"/>
          <c:order val="2"/>
          <c:tx>
            <c:v>Interpolación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'Interpolación para W8X15'!$T$45:$T$54</c:f>
              <c:numCache>
                <c:formatCode>0.00</c:formatCode>
                <c:ptCount val="10"/>
                <c:pt idx="0">
                  <c:v>0</c:v>
                </c:pt>
                <c:pt idx="1">
                  <c:v>2.3922330097087379</c:v>
                </c:pt>
                <c:pt idx="2">
                  <c:v>3.3242718446601942</c:v>
                </c:pt>
                <c:pt idx="3">
                  <c:v>5.1572815533980574</c:v>
                </c:pt>
                <c:pt idx="4">
                  <c:v>8.0776699029126213</c:v>
                </c:pt>
                <c:pt idx="5">
                  <c:v>10.966990291262135</c:v>
                </c:pt>
                <c:pt idx="6">
                  <c:v>13.126213592233007</c:v>
                </c:pt>
                <c:pt idx="7">
                  <c:v>15.922330097087377</c:v>
                </c:pt>
                <c:pt idx="8">
                  <c:v>19.106796116504853</c:v>
                </c:pt>
                <c:pt idx="9">
                  <c:v>19.650485436893202</c:v>
                </c:pt>
              </c:numCache>
            </c:numRef>
          </c:xVal>
          <c:yVal>
            <c:numRef>
              <c:f>'Interpolación para W8X15'!$U$45:$U$54</c:f>
              <c:numCache>
                <c:formatCode>0.00</c:formatCode>
                <c:ptCount val="10"/>
                <c:pt idx="0">
                  <c:v>0</c:v>
                </c:pt>
                <c:pt idx="1">
                  <c:v>663.41463414634154</c:v>
                </c:pt>
                <c:pt idx="2">
                  <c:v>1098.780487804878</c:v>
                </c:pt>
                <c:pt idx="3">
                  <c:v>1538.2926829268292</c:v>
                </c:pt>
                <c:pt idx="4">
                  <c:v>2147.8048780487807</c:v>
                </c:pt>
                <c:pt idx="5">
                  <c:v>2653.6585365853662</c:v>
                </c:pt>
                <c:pt idx="6">
                  <c:v>3037.1951219512198</c:v>
                </c:pt>
                <c:pt idx="7">
                  <c:v>3387.560975609756</c:v>
                </c:pt>
                <c:pt idx="8">
                  <c:v>3814.6341463414637</c:v>
                </c:pt>
                <c:pt idx="9">
                  <c:v>4013.6585365853662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8B-48E0-B20D-5FAC7F056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173567"/>
        <c:axId val="1504174047"/>
      </c:scatterChart>
      <c:valAx>
        <c:axId val="150417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Desplazamiento</a:t>
                </a:r>
                <a:r>
                  <a:rPr lang="es-US" baseline="0"/>
                  <a:t> [mm]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4174047"/>
        <c:crosses val="autoZero"/>
        <c:crossBetween val="midCat"/>
      </c:valAx>
      <c:valAx>
        <c:axId val="150417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US"/>
                  <a:t>Carga</a:t>
                </a:r>
                <a:r>
                  <a:rPr lang="es-US" baseline="0"/>
                  <a:t> aplicada [kg]</a:t>
                </a:r>
                <a:endParaRPr lang="es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0417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84636</xdr:colOff>
      <xdr:row>4</xdr:row>
      <xdr:rowOff>58647</xdr:rowOff>
    </xdr:from>
    <xdr:to>
      <xdr:col>9</xdr:col>
      <xdr:colOff>217714</xdr:colOff>
      <xdr:row>19</xdr:row>
      <xdr:rowOff>-1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922CE3-808B-0D7A-3E2D-FC2A8B593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92528</xdr:colOff>
      <xdr:row>21</xdr:row>
      <xdr:rowOff>76744</xdr:rowOff>
    </xdr:from>
    <xdr:to>
      <xdr:col>9</xdr:col>
      <xdr:colOff>283028</xdr:colOff>
      <xdr:row>35</xdr:row>
      <xdr:rowOff>43543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B86962-6B9A-0326-AE9C-F8A6DBF9A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137160</xdr:colOff>
      <xdr:row>36</xdr:row>
      <xdr:rowOff>163830</xdr:rowOff>
    </xdr:from>
    <xdr:to>
      <xdr:col>9</xdr:col>
      <xdr:colOff>217714</xdr:colOff>
      <xdr:row>52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96B176-540B-894C-34A4-D0B670DF9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185057</xdr:colOff>
      <xdr:row>2</xdr:row>
      <xdr:rowOff>179614</xdr:rowOff>
    </xdr:from>
    <xdr:to>
      <xdr:col>17</xdr:col>
      <xdr:colOff>783771</xdr:colOff>
      <xdr:row>19</xdr:row>
      <xdr:rowOff>-1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4F2ACC-4271-CB9C-170B-D5F8920B7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283029</xdr:colOff>
      <xdr:row>22</xdr:row>
      <xdr:rowOff>16328</xdr:rowOff>
    </xdr:from>
    <xdr:to>
      <xdr:col>17</xdr:col>
      <xdr:colOff>642257</xdr:colOff>
      <xdr:row>35</xdr:row>
      <xdr:rowOff>97972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36A4C93-CE34-1A23-6E63-982B248AB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326571</xdr:colOff>
      <xdr:row>37</xdr:row>
      <xdr:rowOff>16329</xdr:rowOff>
    </xdr:from>
    <xdr:to>
      <xdr:col>18</xdr:col>
      <xdr:colOff>130628</xdr:colOff>
      <xdr:row>51</xdr:row>
      <xdr:rowOff>168729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7BED8A-8EA3-B391-298E-D17FC0395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422563</xdr:colOff>
      <xdr:row>3</xdr:row>
      <xdr:rowOff>166255</xdr:rowOff>
    </xdr:from>
    <xdr:to>
      <xdr:col>27</xdr:col>
      <xdr:colOff>256309</xdr:colOff>
      <xdr:row>19</xdr:row>
      <xdr:rowOff>27709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334BDE9-B5F4-2883-8353-4225AD0D2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360218</xdr:colOff>
      <xdr:row>21</xdr:row>
      <xdr:rowOff>138546</xdr:rowOff>
    </xdr:from>
    <xdr:to>
      <xdr:col>26</xdr:col>
      <xdr:colOff>644235</xdr:colOff>
      <xdr:row>35</xdr:row>
      <xdr:rowOff>83128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2968AC3-129A-F99A-96F7-CEE957A40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256302</xdr:colOff>
      <xdr:row>37</xdr:row>
      <xdr:rowOff>124691</xdr:rowOff>
    </xdr:from>
    <xdr:to>
      <xdr:col>27</xdr:col>
      <xdr:colOff>90048</xdr:colOff>
      <xdr:row>52</xdr:row>
      <xdr:rowOff>166254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365C9FF-3CD4-A941-882D-0C8E275D7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84636</xdr:colOff>
      <xdr:row>8</xdr:row>
      <xdr:rowOff>58647</xdr:rowOff>
    </xdr:from>
    <xdr:to>
      <xdr:col>9</xdr:col>
      <xdr:colOff>217714</xdr:colOff>
      <xdr:row>23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EBB18D-857B-4243-9C78-19DBD8F7B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92528</xdr:colOff>
      <xdr:row>25</xdr:row>
      <xdr:rowOff>76744</xdr:rowOff>
    </xdr:from>
    <xdr:to>
      <xdr:col>9</xdr:col>
      <xdr:colOff>283028</xdr:colOff>
      <xdr:row>39</xdr:row>
      <xdr:rowOff>43543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9A7507-C616-4F05-955B-D384D7D7A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137160</xdr:colOff>
      <xdr:row>40</xdr:row>
      <xdr:rowOff>163830</xdr:rowOff>
    </xdr:from>
    <xdr:to>
      <xdr:col>9</xdr:col>
      <xdr:colOff>217714</xdr:colOff>
      <xdr:row>56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F93405-6169-42AA-9EF1-A80BAB072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185057</xdr:colOff>
      <xdr:row>6</xdr:row>
      <xdr:rowOff>179614</xdr:rowOff>
    </xdr:from>
    <xdr:to>
      <xdr:col>17</xdr:col>
      <xdr:colOff>783771</xdr:colOff>
      <xdr:row>23</xdr:row>
      <xdr:rowOff>-1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1DFE8C-E0C0-4818-884E-9979D85A5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283029</xdr:colOff>
      <xdr:row>26</xdr:row>
      <xdr:rowOff>16328</xdr:rowOff>
    </xdr:from>
    <xdr:to>
      <xdr:col>17</xdr:col>
      <xdr:colOff>642257</xdr:colOff>
      <xdr:row>39</xdr:row>
      <xdr:rowOff>97972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AED5F2-70D2-4CE4-9EEC-E34F65F7C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326571</xdr:colOff>
      <xdr:row>41</xdr:row>
      <xdr:rowOff>16329</xdr:rowOff>
    </xdr:from>
    <xdr:to>
      <xdr:col>18</xdr:col>
      <xdr:colOff>130628</xdr:colOff>
      <xdr:row>55</xdr:row>
      <xdr:rowOff>168729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778C2F4-2CF4-4FD8-8F83-37E21E44B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422563</xdr:colOff>
      <xdr:row>7</xdr:row>
      <xdr:rowOff>166255</xdr:rowOff>
    </xdr:from>
    <xdr:to>
      <xdr:col>27</xdr:col>
      <xdr:colOff>256309</xdr:colOff>
      <xdr:row>23</xdr:row>
      <xdr:rowOff>27709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81BB09-2242-4033-ADFE-48AE212AE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360218</xdr:colOff>
      <xdr:row>25</xdr:row>
      <xdr:rowOff>138546</xdr:rowOff>
    </xdr:from>
    <xdr:to>
      <xdr:col>26</xdr:col>
      <xdr:colOff>644235</xdr:colOff>
      <xdr:row>39</xdr:row>
      <xdr:rowOff>83128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8A9D522-F710-48CD-B1CB-2DB1E2A71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256302</xdr:colOff>
      <xdr:row>41</xdr:row>
      <xdr:rowOff>124691</xdr:rowOff>
    </xdr:from>
    <xdr:to>
      <xdr:col>27</xdr:col>
      <xdr:colOff>90048</xdr:colOff>
      <xdr:row>56</xdr:row>
      <xdr:rowOff>166254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F1313D9-AACF-4443-AD77-044EA1842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12916</xdr:colOff>
      <xdr:row>24</xdr:row>
      <xdr:rowOff>174033</xdr:rowOff>
    </xdr:from>
    <xdr:to>
      <xdr:col>33</xdr:col>
      <xdr:colOff>590171</xdr:colOff>
      <xdr:row>40</xdr:row>
      <xdr:rowOff>59956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B880787-35A4-FC0B-FB1B-7E5DDD5F3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38446</xdr:colOff>
      <xdr:row>7</xdr:row>
      <xdr:rowOff>98540</xdr:rowOff>
    </xdr:from>
    <xdr:to>
      <xdr:col>33</xdr:col>
      <xdr:colOff>625359</xdr:colOff>
      <xdr:row>23</xdr:row>
      <xdr:rowOff>125034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97FB859-BB57-529E-7867-E3B0A4D92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20108</xdr:colOff>
      <xdr:row>41</xdr:row>
      <xdr:rowOff>123479</xdr:rowOff>
    </xdr:from>
    <xdr:to>
      <xdr:col>33</xdr:col>
      <xdr:colOff>603212</xdr:colOff>
      <xdr:row>57</xdr:row>
      <xdr:rowOff>93865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2F2D19F-ED53-EF9C-342A-84E1FD4D4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84636</xdr:colOff>
      <xdr:row>8</xdr:row>
      <xdr:rowOff>58647</xdr:rowOff>
    </xdr:from>
    <xdr:to>
      <xdr:col>9</xdr:col>
      <xdr:colOff>217714</xdr:colOff>
      <xdr:row>23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E38766-002C-4CF0-811D-95845BC87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92528</xdr:colOff>
      <xdr:row>25</xdr:row>
      <xdr:rowOff>76744</xdr:rowOff>
    </xdr:from>
    <xdr:to>
      <xdr:col>9</xdr:col>
      <xdr:colOff>283028</xdr:colOff>
      <xdr:row>39</xdr:row>
      <xdr:rowOff>43543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E04BA5-32D7-4438-A701-EF8E13AA5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137160</xdr:colOff>
      <xdr:row>40</xdr:row>
      <xdr:rowOff>163830</xdr:rowOff>
    </xdr:from>
    <xdr:to>
      <xdr:col>9</xdr:col>
      <xdr:colOff>217714</xdr:colOff>
      <xdr:row>56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B464BA-CF99-45D7-A4EC-7264F5F87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185057</xdr:colOff>
      <xdr:row>6</xdr:row>
      <xdr:rowOff>179614</xdr:rowOff>
    </xdr:from>
    <xdr:to>
      <xdr:col>17</xdr:col>
      <xdr:colOff>783771</xdr:colOff>
      <xdr:row>23</xdr:row>
      <xdr:rowOff>-1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550FFC-68E5-4925-A392-26F919CF3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283029</xdr:colOff>
      <xdr:row>26</xdr:row>
      <xdr:rowOff>16328</xdr:rowOff>
    </xdr:from>
    <xdr:to>
      <xdr:col>17</xdr:col>
      <xdr:colOff>642257</xdr:colOff>
      <xdr:row>39</xdr:row>
      <xdr:rowOff>97972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D8DF1B-270B-4D3C-971D-41D7FD60F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326571</xdr:colOff>
      <xdr:row>41</xdr:row>
      <xdr:rowOff>16329</xdr:rowOff>
    </xdr:from>
    <xdr:to>
      <xdr:col>18</xdr:col>
      <xdr:colOff>130628</xdr:colOff>
      <xdr:row>55</xdr:row>
      <xdr:rowOff>168729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BD1E6E1-367D-48F6-B926-6DFD8534C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310504</xdr:colOff>
      <xdr:row>7</xdr:row>
      <xdr:rowOff>147653</xdr:rowOff>
    </xdr:from>
    <xdr:to>
      <xdr:col>27</xdr:col>
      <xdr:colOff>142345</xdr:colOff>
      <xdr:row>23</xdr:row>
      <xdr:rowOff>3392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F15C966-C3BD-41E1-81C1-E72EF784A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360218</xdr:colOff>
      <xdr:row>25</xdr:row>
      <xdr:rowOff>138546</xdr:rowOff>
    </xdr:from>
    <xdr:to>
      <xdr:col>26</xdr:col>
      <xdr:colOff>644235</xdr:colOff>
      <xdr:row>39</xdr:row>
      <xdr:rowOff>83128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34A550A-B957-4F0A-8D16-E90A9973B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256302</xdr:colOff>
      <xdr:row>41</xdr:row>
      <xdr:rowOff>124691</xdr:rowOff>
    </xdr:from>
    <xdr:to>
      <xdr:col>27</xdr:col>
      <xdr:colOff>90048</xdr:colOff>
      <xdr:row>56</xdr:row>
      <xdr:rowOff>166254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5B79CC0-E7B3-4229-A3A2-988BD72E5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12916</xdr:colOff>
      <xdr:row>24</xdr:row>
      <xdr:rowOff>174033</xdr:rowOff>
    </xdr:from>
    <xdr:to>
      <xdr:col>33</xdr:col>
      <xdr:colOff>590171</xdr:colOff>
      <xdr:row>40</xdr:row>
      <xdr:rowOff>59956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A9DF24C-0E34-4B75-BEA6-D0A5F4D92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38446</xdr:colOff>
      <xdr:row>7</xdr:row>
      <xdr:rowOff>102351</xdr:rowOff>
    </xdr:from>
    <xdr:to>
      <xdr:col>33</xdr:col>
      <xdr:colOff>621549</xdr:colOff>
      <xdr:row>23</xdr:row>
      <xdr:rowOff>76547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A5EFC87-045C-4580-91EF-4EDF7B2B5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20108</xdr:colOff>
      <xdr:row>41</xdr:row>
      <xdr:rowOff>123479</xdr:rowOff>
    </xdr:from>
    <xdr:to>
      <xdr:col>33</xdr:col>
      <xdr:colOff>603212</xdr:colOff>
      <xdr:row>57</xdr:row>
      <xdr:rowOff>93865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0312157-747F-4CB0-91F2-7AC9693CA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3738-592B-455E-A2AA-4C0DDF53F0E0}">
  <dimension ref="C5:U51"/>
  <sheetViews>
    <sheetView zoomScale="55" zoomScaleNormal="55" workbookViewId="0">
      <selection activeCell="T57" sqref="T57"/>
    </sheetView>
  </sheetViews>
  <sheetFormatPr baseColWidth="10" defaultRowHeight="14.4" x14ac:dyDescent="0.3"/>
  <cols>
    <col min="3" max="3" width="26" bestFit="1" customWidth="1"/>
    <col min="4" max="4" width="19.88671875" bestFit="1" customWidth="1"/>
    <col min="11" max="11" width="26" bestFit="1" customWidth="1"/>
    <col min="12" max="12" width="22.44140625" customWidth="1"/>
    <col min="20" max="20" width="26" bestFit="1" customWidth="1"/>
  </cols>
  <sheetData>
    <row r="5" spans="3:21" x14ac:dyDescent="0.3">
      <c r="T5" s="13" t="s">
        <v>8</v>
      </c>
      <c r="U5" s="13"/>
    </row>
    <row r="6" spans="3:21" x14ac:dyDescent="0.3">
      <c r="C6" s="13" t="s">
        <v>0</v>
      </c>
      <c r="D6" s="13"/>
      <c r="K6" s="13" t="s">
        <v>6</v>
      </c>
      <c r="L6" s="13"/>
      <c r="T6" s="13" t="s">
        <v>3</v>
      </c>
      <c r="U6" s="13"/>
    </row>
    <row r="7" spans="3:21" x14ac:dyDescent="0.3">
      <c r="C7" s="13" t="s">
        <v>3</v>
      </c>
      <c r="D7" s="13"/>
      <c r="K7" s="13" t="s">
        <v>3</v>
      </c>
      <c r="L7" s="13"/>
      <c r="T7" s="2" t="s">
        <v>2</v>
      </c>
      <c r="U7" s="2" t="s">
        <v>1</v>
      </c>
    </row>
    <row r="8" spans="3:21" x14ac:dyDescent="0.3">
      <c r="C8" s="2" t="s">
        <v>2</v>
      </c>
      <c r="D8" s="2" t="s">
        <v>1</v>
      </c>
      <c r="K8" s="2" t="s">
        <v>2</v>
      </c>
      <c r="L8" s="2" t="s">
        <v>1</v>
      </c>
      <c r="T8" s="2">
        <v>0</v>
      </c>
      <c r="U8" s="2">
        <v>0</v>
      </c>
    </row>
    <row r="9" spans="3:21" x14ac:dyDescent="0.3">
      <c r="C9" s="2">
        <v>0</v>
      </c>
      <c r="D9" s="2">
        <v>0</v>
      </c>
      <c r="K9" s="2">
        <v>0</v>
      </c>
      <c r="L9" s="2">
        <v>0</v>
      </c>
      <c r="T9" s="2">
        <v>0.2</v>
      </c>
      <c r="U9" s="2">
        <v>354</v>
      </c>
    </row>
    <row r="10" spans="3:21" x14ac:dyDescent="0.3">
      <c r="C10" s="2">
        <v>0.25</v>
      </c>
      <c r="D10" s="2">
        <v>326</v>
      </c>
      <c r="K10" s="2">
        <v>0.09</v>
      </c>
      <c r="L10" s="2">
        <v>402</v>
      </c>
      <c r="T10" s="2">
        <v>0.9</v>
      </c>
      <c r="U10" s="2">
        <v>580</v>
      </c>
    </row>
    <row r="11" spans="3:21" x14ac:dyDescent="0.3">
      <c r="C11" s="2">
        <v>2.4</v>
      </c>
      <c r="D11" s="2">
        <v>618</v>
      </c>
      <c r="K11" s="2">
        <v>0.23</v>
      </c>
      <c r="L11" s="2">
        <v>618</v>
      </c>
      <c r="T11" s="2">
        <v>1.6</v>
      </c>
      <c r="U11" s="2">
        <v>761</v>
      </c>
    </row>
    <row r="12" spans="3:21" x14ac:dyDescent="0.3">
      <c r="C12" s="2">
        <v>4.74</v>
      </c>
      <c r="D12" s="2">
        <v>861</v>
      </c>
      <c r="K12" s="2">
        <v>0.71</v>
      </c>
      <c r="L12" s="2">
        <v>817</v>
      </c>
      <c r="T12" s="2">
        <v>7.73</v>
      </c>
      <c r="U12" s="2">
        <v>1140</v>
      </c>
    </row>
    <row r="13" spans="3:21" x14ac:dyDescent="0.3">
      <c r="C13" s="2">
        <v>12.09</v>
      </c>
      <c r="D13" s="2">
        <v>1032</v>
      </c>
      <c r="K13" s="2">
        <v>1.1100000000000001</v>
      </c>
      <c r="L13" s="2">
        <v>1046</v>
      </c>
      <c r="T13" s="2">
        <v>18.87</v>
      </c>
      <c r="U13" s="2">
        <v>1374</v>
      </c>
    </row>
    <row r="14" spans="3:21" x14ac:dyDescent="0.3">
      <c r="C14" s="2">
        <v>25.59</v>
      </c>
      <c r="D14" s="2">
        <v>1164</v>
      </c>
      <c r="K14" s="2">
        <v>2.16</v>
      </c>
      <c r="L14" s="2">
        <v>1302</v>
      </c>
      <c r="T14" s="2">
        <v>25.49</v>
      </c>
      <c r="U14" s="2">
        <v>1402</v>
      </c>
    </row>
    <row r="15" spans="3:21" x14ac:dyDescent="0.3">
      <c r="C15" s="2" t="s">
        <v>7</v>
      </c>
      <c r="D15" s="2">
        <v>2.5</v>
      </c>
      <c r="K15" s="2">
        <v>3.51</v>
      </c>
      <c r="L15" s="2">
        <v>1450</v>
      </c>
      <c r="T15" s="2" t="s">
        <v>7</v>
      </c>
      <c r="U15" s="2">
        <v>2.5</v>
      </c>
    </row>
    <row r="16" spans="3:21" x14ac:dyDescent="0.3">
      <c r="K16" s="2">
        <v>6.53</v>
      </c>
      <c r="L16" s="2">
        <v>1652</v>
      </c>
    </row>
    <row r="17" spans="3:21" x14ac:dyDescent="0.3">
      <c r="K17" s="2">
        <v>14.79</v>
      </c>
      <c r="L17" s="2">
        <v>1862</v>
      </c>
    </row>
    <row r="18" spans="3:21" x14ac:dyDescent="0.3">
      <c r="K18" s="2">
        <v>25.65</v>
      </c>
      <c r="L18" s="2">
        <v>1932</v>
      </c>
    </row>
    <row r="19" spans="3:21" x14ac:dyDescent="0.3">
      <c r="K19" s="2" t="s">
        <v>7</v>
      </c>
      <c r="L19" s="2">
        <v>2.5</v>
      </c>
    </row>
    <row r="23" spans="3:21" x14ac:dyDescent="0.3">
      <c r="C23" s="13" t="s">
        <v>0</v>
      </c>
      <c r="D23" s="13"/>
      <c r="K23" s="13" t="s">
        <v>6</v>
      </c>
      <c r="L23" s="13"/>
      <c r="T23" s="13" t="s">
        <v>6</v>
      </c>
      <c r="U23" s="13"/>
    </row>
    <row r="24" spans="3:21" x14ac:dyDescent="0.3">
      <c r="C24" s="13" t="s">
        <v>4</v>
      </c>
      <c r="D24" s="13"/>
      <c r="K24" s="13" t="s">
        <v>4</v>
      </c>
      <c r="L24" s="13"/>
      <c r="T24" s="13" t="s">
        <v>4</v>
      </c>
      <c r="U24" s="13"/>
    </row>
    <row r="25" spans="3:21" x14ac:dyDescent="0.3">
      <c r="C25" s="2" t="s">
        <v>2</v>
      </c>
      <c r="D25" s="2" t="s">
        <v>1</v>
      </c>
      <c r="K25" s="2" t="s">
        <v>2</v>
      </c>
      <c r="L25" s="2" t="s">
        <v>1</v>
      </c>
      <c r="T25" s="2" t="s">
        <v>2</v>
      </c>
      <c r="U25" s="2" t="s">
        <v>1</v>
      </c>
    </row>
    <row r="26" spans="3:21" x14ac:dyDescent="0.3">
      <c r="C26" s="2">
        <v>0</v>
      </c>
      <c r="D26" s="2">
        <v>0</v>
      </c>
      <c r="K26" s="2">
        <v>0</v>
      </c>
      <c r="L26" s="2">
        <v>0</v>
      </c>
      <c r="T26" s="2">
        <v>0</v>
      </c>
      <c r="U26" s="2">
        <v>0</v>
      </c>
    </row>
    <row r="27" spans="3:21" x14ac:dyDescent="0.3">
      <c r="C27" s="2">
        <v>12.18</v>
      </c>
      <c r="D27" s="2">
        <v>342</v>
      </c>
      <c r="K27" s="2">
        <v>1.07</v>
      </c>
      <c r="L27" s="2">
        <v>349</v>
      </c>
      <c r="T27" s="2">
        <v>10.46</v>
      </c>
      <c r="U27" s="2">
        <v>332</v>
      </c>
    </row>
    <row r="28" spans="3:21" x14ac:dyDescent="0.3">
      <c r="C28" s="2">
        <v>25.8</v>
      </c>
      <c r="D28" s="2">
        <v>425</v>
      </c>
      <c r="K28" s="2">
        <v>3.16</v>
      </c>
      <c r="L28" s="2">
        <v>520</v>
      </c>
      <c r="T28" s="2">
        <v>25.8</v>
      </c>
      <c r="U28" s="2">
        <v>420</v>
      </c>
    </row>
    <row r="29" spans="3:21" x14ac:dyDescent="0.3">
      <c r="C29" s="2" t="s">
        <v>7</v>
      </c>
      <c r="D29" s="2">
        <v>2.5</v>
      </c>
      <c r="K29" s="2">
        <v>6.78</v>
      </c>
      <c r="L29" s="2">
        <v>781</v>
      </c>
      <c r="T29" s="2" t="s">
        <v>7</v>
      </c>
      <c r="U29" s="2">
        <v>2.5</v>
      </c>
    </row>
    <row r="30" spans="3:21" x14ac:dyDescent="0.3">
      <c r="K30" s="2">
        <v>25.5</v>
      </c>
      <c r="L30" s="2">
        <v>984</v>
      </c>
    </row>
    <row r="31" spans="3:21" x14ac:dyDescent="0.3">
      <c r="K31" s="2" t="s">
        <v>7</v>
      </c>
      <c r="L31" s="2">
        <v>2.5</v>
      </c>
    </row>
    <row r="38" spans="3:21" x14ac:dyDescent="0.3">
      <c r="C38" s="13" t="s">
        <v>0</v>
      </c>
      <c r="D38" s="13"/>
      <c r="K38" s="13" t="s">
        <v>6</v>
      </c>
      <c r="L38" s="13"/>
      <c r="T38" s="13" t="s">
        <v>6</v>
      </c>
      <c r="U38" s="13"/>
    </row>
    <row r="39" spans="3:21" x14ac:dyDescent="0.3">
      <c r="C39" s="13" t="s">
        <v>5</v>
      </c>
      <c r="D39" s="13"/>
      <c r="K39" s="13" t="s">
        <v>5</v>
      </c>
      <c r="L39" s="13"/>
      <c r="T39" s="13" t="s">
        <v>5</v>
      </c>
      <c r="U39" s="13"/>
    </row>
    <row r="40" spans="3:21" x14ac:dyDescent="0.3">
      <c r="C40" s="2" t="s">
        <v>2</v>
      </c>
      <c r="D40" s="2" t="s">
        <v>1</v>
      </c>
      <c r="K40" s="2" t="s">
        <v>2</v>
      </c>
      <c r="L40" s="2" t="s">
        <v>1</v>
      </c>
      <c r="T40" s="2" t="s">
        <v>2</v>
      </c>
      <c r="U40" s="2" t="s">
        <v>1</v>
      </c>
    </row>
    <row r="41" spans="3:21" x14ac:dyDescent="0.3">
      <c r="C41" s="2">
        <v>0</v>
      </c>
      <c r="D41" s="2">
        <v>0</v>
      </c>
      <c r="K41" s="2">
        <v>0</v>
      </c>
      <c r="L41" s="2">
        <v>0</v>
      </c>
      <c r="T41" s="2">
        <v>0</v>
      </c>
      <c r="U41" s="2">
        <v>0</v>
      </c>
    </row>
    <row r="42" spans="3:21" x14ac:dyDescent="0.3">
      <c r="C42" s="2">
        <v>4.4400000000000004</v>
      </c>
      <c r="D42" s="2">
        <v>350</v>
      </c>
      <c r="K42" s="2">
        <v>2.2000000000000002</v>
      </c>
      <c r="L42" s="2">
        <v>310</v>
      </c>
      <c r="T42" s="2">
        <v>3.08</v>
      </c>
      <c r="U42" s="2">
        <v>320</v>
      </c>
    </row>
    <row r="43" spans="3:21" x14ac:dyDescent="0.3">
      <c r="C43" s="2">
        <v>6.64</v>
      </c>
      <c r="D43" s="2">
        <v>524</v>
      </c>
      <c r="K43" s="2">
        <v>3.12</v>
      </c>
      <c r="L43" s="2">
        <v>550</v>
      </c>
      <c r="T43" s="2">
        <v>4.28</v>
      </c>
      <c r="U43" s="2">
        <v>530</v>
      </c>
    </row>
    <row r="44" spans="3:21" x14ac:dyDescent="0.3">
      <c r="C44" s="2">
        <v>10.11</v>
      </c>
      <c r="D44" s="2">
        <v>718</v>
      </c>
      <c r="K44" s="2">
        <v>4.43</v>
      </c>
      <c r="L44" s="2">
        <v>728</v>
      </c>
      <c r="T44" s="2">
        <v>6.64</v>
      </c>
      <c r="U44" s="2">
        <v>742</v>
      </c>
    </row>
    <row r="45" spans="3:21" x14ac:dyDescent="0.3">
      <c r="C45" s="2">
        <v>17.260000000000002</v>
      </c>
      <c r="D45" s="2">
        <v>1030</v>
      </c>
      <c r="K45" s="2">
        <v>6.89</v>
      </c>
      <c r="L45" s="2">
        <v>1040</v>
      </c>
      <c r="T45" s="2">
        <v>10.4</v>
      </c>
      <c r="U45" s="2">
        <v>1036</v>
      </c>
    </row>
    <row r="46" spans="3:21" x14ac:dyDescent="0.3">
      <c r="C46" s="2">
        <v>24.6</v>
      </c>
      <c r="D46" s="2">
        <v>1240</v>
      </c>
      <c r="K46" s="2">
        <v>9.58</v>
      </c>
      <c r="L46" s="2">
        <v>1268</v>
      </c>
      <c r="T46" s="2">
        <v>14.12</v>
      </c>
      <c r="U46" s="2">
        <v>1280</v>
      </c>
    </row>
    <row r="47" spans="3:21" x14ac:dyDescent="0.3">
      <c r="C47" s="2">
        <v>25.57</v>
      </c>
      <c r="D47" s="2">
        <v>1320</v>
      </c>
      <c r="K47" s="2">
        <v>11.54</v>
      </c>
      <c r="L47" s="2">
        <v>1462</v>
      </c>
      <c r="T47" s="2">
        <v>16.899999999999999</v>
      </c>
      <c r="U47" s="2">
        <v>1465</v>
      </c>
    </row>
    <row r="48" spans="3:21" x14ac:dyDescent="0.3">
      <c r="C48" s="2" t="s">
        <v>7</v>
      </c>
      <c r="D48" s="2">
        <v>2.5</v>
      </c>
      <c r="K48" s="2">
        <v>13.9</v>
      </c>
      <c r="L48" s="2">
        <v>1654</v>
      </c>
      <c r="T48" s="2">
        <v>20.5</v>
      </c>
      <c r="U48" s="2">
        <v>1634</v>
      </c>
    </row>
    <row r="49" spans="11:21" x14ac:dyDescent="0.3">
      <c r="K49" s="2">
        <v>16.7</v>
      </c>
      <c r="L49" s="2">
        <v>1869</v>
      </c>
      <c r="T49" s="2">
        <v>24.6</v>
      </c>
      <c r="U49" s="2">
        <v>1840</v>
      </c>
    </row>
    <row r="50" spans="11:21" x14ac:dyDescent="0.3">
      <c r="K50" s="2">
        <v>20.7</v>
      </c>
      <c r="L50" s="2">
        <v>2072</v>
      </c>
      <c r="T50" s="2">
        <v>25.3</v>
      </c>
      <c r="U50" s="2">
        <v>1936</v>
      </c>
    </row>
    <row r="51" spans="11:21" x14ac:dyDescent="0.3">
      <c r="K51" s="2" t="s">
        <v>7</v>
      </c>
      <c r="L51" s="2">
        <v>2.5</v>
      </c>
      <c r="T51" s="2" t="s">
        <v>7</v>
      </c>
      <c r="U51" s="2">
        <v>2.5</v>
      </c>
    </row>
  </sheetData>
  <mergeCells count="18">
    <mergeCell ref="T5:U5"/>
    <mergeCell ref="T6:U6"/>
    <mergeCell ref="T23:U23"/>
    <mergeCell ref="T24:U24"/>
    <mergeCell ref="T38:U38"/>
    <mergeCell ref="T39:U39"/>
    <mergeCell ref="K6:L6"/>
    <mergeCell ref="K7:L7"/>
    <mergeCell ref="K23:L23"/>
    <mergeCell ref="K24:L24"/>
    <mergeCell ref="K38:L38"/>
    <mergeCell ref="K39:L39"/>
    <mergeCell ref="C39:D39"/>
    <mergeCell ref="C7:D7"/>
    <mergeCell ref="C6:D6"/>
    <mergeCell ref="C23:D23"/>
    <mergeCell ref="C24:D24"/>
    <mergeCell ref="C38:D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B7F8-3A7F-499D-8324-581C323D9168}">
  <dimension ref="C2:BA159"/>
  <sheetViews>
    <sheetView topLeftCell="C1" zoomScale="70" zoomScaleNormal="70" workbookViewId="0">
      <selection activeCell="AV10" sqref="AV10"/>
    </sheetView>
  </sheetViews>
  <sheetFormatPr baseColWidth="10" defaultRowHeight="14.4" x14ac:dyDescent="0.3"/>
  <cols>
    <col min="3" max="3" width="57.6640625" bestFit="1" customWidth="1"/>
    <col min="4" max="4" width="19.88671875" bestFit="1" customWidth="1"/>
    <col min="11" max="11" width="26" bestFit="1" customWidth="1"/>
    <col min="12" max="12" width="22.44140625" customWidth="1"/>
    <col min="20" max="20" width="26.109375" bestFit="1" customWidth="1"/>
    <col min="21" max="21" width="12.5546875" bestFit="1" customWidth="1"/>
    <col min="37" max="37" width="14.21875" customWidth="1"/>
    <col min="38" max="40" width="11.5546875" hidden="1" customWidth="1"/>
    <col min="41" max="41" width="21.5546875" bestFit="1" customWidth="1"/>
    <col min="42" max="42" width="18" customWidth="1"/>
    <col min="45" max="45" width="23.44140625" bestFit="1" customWidth="1"/>
    <col min="46" max="46" width="19.33203125" bestFit="1" customWidth="1"/>
    <col min="47" max="47" width="27.21875" bestFit="1" customWidth="1"/>
    <col min="48" max="48" width="19.33203125" customWidth="1"/>
    <col min="49" max="49" width="0" hidden="1" customWidth="1"/>
    <col min="50" max="50" width="27.6640625" hidden="1" customWidth="1"/>
    <col min="51" max="52" width="0" hidden="1" customWidth="1"/>
    <col min="53" max="53" width="12.77734375" bestFit="1" customWidth="1"/>
  </cols>
  <sheetData>
    <row r="2" spans="3:53" x14ac:dyDescent="0.3">
      <c r="C2" s="2" t="s">
        <v>13</v>
      </c>
      <c r="D2" s="2" t="s">
        <v>11</v>
      </c>
      <c r="E2" s="2" t="s">
        <v>10</v>
      </c>
    </row>
    <row r="3" spans="3:53" x14ac:dyDescent="0.3">
      <c r="C3" s="2" t="s">
        <v>9</v>
      </c>
      <c r="D3" s="2">
        <v>160</v>
      </c>
      <c r="E3" s="2">
        <v>82</v>
      </c>
      <c r="F3" s="2">
        <v>160</v>
      </c>
      <c r="G3" s="14" t="s">
        <v>12</v>
      </c>
      <c r="H3" s="14"/>
      <c r="I3" s="14"/>
      <c r="J3" s="14"/>
    </row>
    <row r="4" spans="3:53" x14ac:dyDescent="0.3">
      <c r="C4" s="2" t="s">
        <v>61</v>
      </c>
      <c r="D4" s="2">
        <v>198</v>
      </c>
      <c r="E4" s="2">
        <f>100+70</f>
        <v>170</v>
      </c>
      <c r="F4" s="2">
        <v>198</v>
      </c>
    </row>
    <row r="5" spans="3:53" x14ac:dyDescent="0.3">
      <c r="C5" s="2" t="s">
        <v>53</v>
      </c>
      <c r="D5" s="2">
        <f>D4/D3</f>
        <v>1.2375</v>
      </c>
      <c r="E5" s="2">
        <f>E4/E3</f>
        <v>2.0731707317073171</v>
      </c>
      <c r="G5" t="s">
        <v>52</v>
      </c>
    </row>
    <row r="8" spans="3:53" x14ac:dyDescent="0.3">
      <c r="AK8" s="2"/>
      <c r="AL8" s="13" t="s">
        <v>54</v>
      </c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3:53" x14ac:dyDescent="0.3">
      <c r="T9" s="13" t="s">
        <v>55</v>
      </c>
      <c r="U9" s="13"/>
      <c r="AK9" s="2"/>
      <c r="AL9" s="2" t="s">
        <v>37</v>
      </c>
      <c r="AM9" s="2" t="s">
        <v>38</v>
      </c>
      <c r="AN9" s="2" t="s">
        <v>38</v>
      </c>
      <c r="AO9" s="2" t="s">
        <v>50</v>
      </c>
      <c r="AP9" s="2" t="s">
        <v>51</v>
      </c>
      <c r="AQ9" s="2" t="s">
        <v>39</v>
      </c>
      <c r="AR9" s="2" t="s">
        <v>44</v>
      </c>
      <c r="AS9" s="2" t="s">
        <v>48</v>
      </c>
      <c r="AT9" s="2" t="s">
        <v>45</v>
      </c>
      <c r="AU9" s="2" t="s">
        <v>49</v>
      </c>
      <c r="AV9" s="5" t="s">
        <v>46</v>
      </c>
      <c r="AW9" s="2" t="s">
        <v>40</v>
      </c>
      <c r="AX9" s="2" t="s">
        <v>47</v>
      </c>
      <c r="AY9" s="2" t="s">
        <v>41</v>
      </c>
      <c r="AZ9" s="2" t="s">
        <v>42</v>
      </c>
      <c r="BA9" s="2" t="s">
        <v>43</v>
      </c>
    </row>
    <row r="10" spans="3:53" x14ac:dyDescent="0.3">
      <c r="C10" s="13" t="s">
        <v>56</v>
      </c>
      <c r="D10" s="13"/>
      <c r="K10" s="13" t="s">
        <v>57</v>
      </c>
      <c r="L10" s="13"/>
      <c r="T10" s="13" t="s">
        <v>3</v>
      </c>
      <c r="U10" s="13"/>
      <c r="AK10" s="2" t="s">
        <v>21</v>
      </c>
      <c r="AL10" s="2">
        <v>0</v>
      </c>
      <c r="AM10" s="2">
        <v>-0.52</v>
      </c>
      <c r="AN10" s="2">
        <f>AM10*101.97</f>
        <v>-53.0244</v>
      </c>
      <c r="AO10" s="2">
        <v>2736.59</v>
      </c>
      <c r="AP10" s="2">
        <f>ABS(AO10/AN10)</f>
        <v>51.610013503217388</v>
      </c>
      <c r="AQ10" s="2">
        <v>3.5</v>
      </c>
      <c r="AR10" s="2">
        <f>AQ10*101.97</f>
        <v>356.89499999999998</v>
      </c>
      <c r="AS10" s="2">
        <v>-2413</v>
      </c>
      <c r="AT10" s="1" t="str">
        <f>IF(AS10/AR10&gt;=0,AS10/AR10, "Compresión no aplica")</f>
        <v>Compresión no aplica</v>
      </c>
      <c r="AU10" s="2">
        <v>881.1</v>
      </c>
      <c r="AV10" s="1">
        <f>IF(AU10/AR10&gt;=0,AU10/AR10, "Tensión no aplica")</f>
        <v>2.4687933425797506</v>
      </c>
      <c r="AW10" s="2">
        <v>0.78</v>
      </c>
      <c r="AX10" s="3">
        <f>AM10*101.97</f>
        <v>-53.0244</v>
      </c>
      <c r="AY10" s="2">
        <v>-0.35</v>
      </c>
      <c r="AZ10" s="2">
        <v>0</v>
      </c>
      <c r="BA10" s="2" t="s">
        <v>22</v>
      </c>
    </row>
    <row r="11" spans="3:53" x14ac:dyDescent="0.3">
      <c r="C11" s="13" t="s">
        <v>3</v>
      </c>
      <c r="D11" s="13"/>
      <c r="K11" s="13" t="s">
        <v>3</v>
      </c>
      <c r="L11" s="13"/>
      <c r="T11" s="5" t="s">
        <v>2</v>
      </c>
      <c r="U11" s="5" t="s">
        <v>1</v>
      </c>
      <c r="AK11" s="2" t="s">
        <v>21</v>
      </c>
      <c r="AL11" s="2">
        <v>0</v>
      </c>
      <c r="AM11" s="2">
        <v>0.46</v>
      </c>
      <c r="AN11" s="2">
        <f t="shared" ref="AN11:AN74" si="0">AM11*101.97</f>
        <v>46.906199999999998</v>
      </c>
      <c r="AO11" s="2">
        <v>2736.59</v>
      </c>
      <c r="AP11" s="2">
        <f t="shared" ref="AP11:AP74" si="1">ABS(AO11/AN11)</f>
        <v>58.341754394941397</v>
      </c>
      <c r="AQ11" s="2">
        <v>-0.24</v>
      </c>
      <c r="AR11" s="2">
        <f t="shared" ref="AR11:AR74" si="2">AQ11*101.97</f>
        <v>-24.472799999999999</v>
      </c>
      <c r="AS11" s="2">
        <v>-2413</v>
      </c>
      <c r="AT11" s="1">
        <f t="shared" ref="AT11:AT74" si="3">IF(AS11/AR11&gt;=0,AS11/AR11, "Compresión no aplica")</f>
        <v>98.599261220620448</v>
      </c>
      <c r="AU11" s="2">
        <v>881.1</v>
      </c>
      <c r="AV11" s="1" t="str">
        <f t="shared" ref="AV11:AV74" si="4">IF(AU11/AR11&gt;=0,AU11/AR11, "Tensión no aplica")</f>
        <v>Tensión no aplica</v>
      </c>
      <c r="AW11" s="2">
        <v>-0.69</v>
      </c>
      <c r="AX11" s="3">
        <f t="shared" ref="AX11:AX74" si="5">AM11*101.97</f>
        <v>46.906199999999998</v>
      </c>
      <c r="AY11" s="2">
        <v>0.04</v>
      </c>
      <c r="AZ11" s="2">
        <v>0</v>
      </c>
      <c r="BA11" s="2" t="s">
        <v>23</v>
      </c>
    </row>
    <row r="12" spans="3:53" x14ac:dyDescent="0.3">
      <c r="C12" s="2" t="s">
        <v>2</v>
      </c>
      <c r="D12" s="2" t="s">
        <v>1</v>
      </c>
      <c r="K12" s="2" t="s">
        <v>2</v>
      </c>
      <c r="L12" s="2" t="s">
        <v>1</v>
      </c>
      <c r="T12" s="6">
        <f>'Pull out test IPE 160'!T8</f>
        <v>0</v>
      </c>
      <c r="U12" s="5">
        <f>'Pull out test IPE 160'!U8*'Interpolación para W8X10'!$E$5</f>
        <v>0</v>
      </c>
      <c r="AK12" s="2" t="s">
        <v>21</v>
      </c>
      <c r="AL12" s="2">
        <v>0</v>
      </c>
      <c r="AM12" s="2">
        <v>-2.35</v>
      </c>
      <c r="AN12" s="2">
        <f t="shared" si="0"/>
        <v>-239.62950000000001</v>
      </c>
      <c r="AO12" s="2">
        <v>2736.59</v>
      </c>
      <c r="AP12" s="2">
        <f t="shared" si="1"/>
        <v>11.420088094328953</v>
      </c>
      <c r="AQ12" s="2">
        <v>2.88</v>
      </c>
      <c r="AR12" s="2">
        <f t="shared" si="2"/>
        <v>293.67359999999996</v>
      </c>
      <c r="AS12" s="2">
        <v>-2413</v>
      </c>
      <c r="AT12" s="1" t="str">
        <f t="shared" si="3"/>
        <v>Compresión no aplica</v>
      </c>
      <c r="AU12" s="2">
        <v>881.1</v>
      </c>
      <c r="AV12" s="1">
        <f t="shared" si="4"/>
        <v>3.0002696871628913</v>
      </c>
      <c r="AW12" s="2">
        <v>3.51</v>
      </c>
      <c r="AX12" s="3">
        <f t="shared" si="5"/>
        <v>-239.62950000000001</v>
      </c>
      <c r="AY12" s="2">
        <v>-0.28999999999999998</v>
      </c>
      <c r="AZ12" s="2">
        <v>0</v>
      </c>
      <c r="BA12" s="2" t="s">
        <v>24</v>
      </c>
    </row>
    <row r="13" spans="3:53" x14ac:dyDescent="0.3">
      <c r="C13" s="8">
        <f>'Pull out test IPE 160'!C9</f>
        <v>0</v>
      </c>
      <c r="D13" s="1">
        <f>'Pull out test IPE 160'!D9*'Interpolación para W8X10'!$E$5</f>
        <v>0</v>
      </c>
      <c r="K13" s="7">
        <f>'Pull out test IPE 160'!K9</f>
        <v>0</v>
      </c>
      <c r="L13" s="1">
        <f>'Pull out test IPE 160'!L9*'Interpolación para W8X10'!$E$5</f>
        <v>0</v>
      </c>
      <c r="T13" s="6">
        <f>'Pull out test IPE 160'!T9</f>
        <v>0.2</v>
      </c>
      <c r="U13" s="5">
        <f>'Pull out test IPE 160'!U9*'Interpolación para W8X10'!$E$5</f>
        <v>733.90243902439022</v>
      </c>
      <c r="AK13" s="2" t="s">
        <v>21</v>
      </c>
      <c r="AL13" s="2">
        <v>0</v>
      </c>
      <c r="AM13" s="2">
        <v>2.02</v>
      </c>
      <c r="AN13" s="2">
        <f t="shared" si="0"/>
        <v>205.9794</v>
      </c>
      <c r="AO13" s="2">
        <v>2736.59</v>
      </c>
      <c r="AP13" s="2">
        <f t="shared" si="1"/>
        <v>13.28574605033319</v>
      </c>
      <c r="AQ13" s="2">
        <v>0.32</v>
      </c>
      <c r="AR13" s="2">
        <f t="shared" si="2"/>
        <v>32.630400000000002</v>
      </c>
      <c r="AS13" s="2">
        <v>-2413</v>
      </c>
      <c r="AT13" s="1" t="str">
        <f t="shared" si="3"/>
        <v>Compresión no aplica</v>
      </c>
      <c r="AU13" s="2">
        <v>881.1</v>
      </c>
      <c r="AV13" s="1">
        <f t="shared" si="4"/>
        <v>27.002427184466018</v>
      </c>
      <c r="AW13" s="2">
        <v>-3.02</v>
      </c>
      <c r="AX13" s="3">
        <f t="shared" si="5"/>
        <v>205.9794</v>
      </c>
      <c r="AY13" s="2">
        <v>-0.02</v>
      </c>
      <c r="AZ13" s="2">
        <v>0</v>
      </c>
      <c r="BA13" s="2" t="s">
        <v>25</v>
      </c>
    </row>
    <row r="14" spans="3:53" x14ac:dyDescent="0.3">
      <c r="C14" s="8">
        <f>'Pull out test IPE 160'!C10</f>
        <v>0.25</v>
      </c>
      <c r="D14" s="1">
        <f>'Pull out test IPE 160'!D10*'Interpolación para W8X10'!$E$5</f>
        <v>675.85365853658539</v>
      </c>
      <c r="K14" s="7">
        <f>'Pull out test IPE 160'!K10</f>
        <v>0.09</v>
      </c>
      <c r="L14" s="1">
        <f>'Pull out test IPE 160'!L10*'Interpolación para W8X10'!$E$5</f>
        <v>833.41463414634154</v>
      </c>
      <c r="T14" s="6">
        <f>'Pull out test IPE 160'!T10</f>
        <v>0.9</v>
      </c>
      <c r="U14" s="5">
        <f>'Pull out test IPE 160'!U10*'Interpolación para W8X10'!$E$5</f>
        <v>1202.439024390244</v>
      </c>
      <c r="AK14" s="2" t="s">
        <v>21</v>
      </c>
      <c r="AL14" s="2">
        <v>0</v>
      </c>
      <c r="AM14" s="2">
        <v>-0.52</v>
      </c>
      <c r="AN14" s="2">
        <f t="shared" si="0"/>
        <v>-53.0244</v>
      </c>
      <c r="AO14" s="2">
        <v>2736.59</v>
      </c>
      <c r="AP14" s="2">
        <f t="shared" si="1"/>
        <v>51.610013503217388</v>
      </c>
      <c r="AQ14" s="2">
        <v>2.9</v>
      </c>
      <c r="AR14" s="2">
        <f t="shared" si="2"/>
        <v>295.71299999999997</v>
      </c>
      <c r="AS14" s="2">
        <v>-2413</v>
      </c>
      <c r="AT14" s="1" t="str">
        <f t="shared" si="3"/>
        <v>Compresión no aplica</v>
      </c>
      <c r="AU14" s="2">
        <v>881.1</v>
      </c>
      <c r="AV14" s="1">
        <f t="shared" si="4"/>
        <v>2.9795781720790093</v>
      </c>
      <c r="AW14" s="2">
        <v>0.78</v>
      </c>
      <c r="AX14" s="3">
        <f t="shared" si="5"/>
        <v>-53.0244</v>
      </c>
      <c r="AY14" s="2">
        <v>-0.3</v>
      </c>
      <c r="AZ14" s="2">
        <v>0</v>
      </c>
      <c r="BA14" s="2" t="s">
        <v>26</v>
      </c>
    </row>
    <row r="15" spans="3:53" x14ac:dyDescent="0.3">
      <c r="C15" s="8">
        <f>'Pull out test IPE 160'!C11</f>
        <v>2.4</v>
      </c>
      <c r="D15" s="1">
        <f>'Pull out test IPE 160'!D11*'Interpolación para W8X10'!$E$5</f>
        <v>1281.219512195122</v>
      </c>
      <c r="K15" s="7">
        <f>'Pull out test IPE 160'!K11</f>
        <v>0.23</v>
      </c>
      <c r="L15" s="1">
        <f>'Pull out test IPE 160'!L11*'Interpolación para W8X10'!$E$5</f>
        <v>1281.219512195122</v>
      </c>
      <c r="T15" s="6">
        <f>'Pull out test IPE 160'!T11</f>
        <v>1.6</v>
      </c>
      <c r="U15" s="5">
        <f>'Pull out test IPE 160'!U11*'Interpolación para W8X10'!$E$5</f>
        <v>1577.6829268292684</v>
      </c>
      <c r="AK15" s="2" t="s">
        <v>21</v>
      </c>
      <c r="AL15" s="2">
        <v>0</v>
      </c>
      <c r="AM15" s="2">
        <v>0.46</v>
      </c>
      <c r="AN15" s="2">
        <f t="shared" si="0"/>
        <v>46.906199999999998</v>
      </c>
      <c r="AO15" s="2">
        <v>2736.59</v>
      </c>
      <c r="AP15" s="2">
        <f t="shared" si="1"/>
        <v>58.341754394941397</v>
      </c>
      <c r="AQ15" s="2">
        <v>-0.84</v>
      </c>
      <c r="AR15" s="2">
        <f t="shared" si="2"/>
        <v>-85.654799999999994</v>
      </c>
      <c r="AS15" s="2">
        <v>-2413</v>
      </c>
      <c r="AT15" s="1">
        <f t="shared" si="3"/>
        <v>28.171217491605844</v>
      </c>
      <c r="AU15" s="2">
        <v>881.1</v>
      </c>
      <c r="AV15" s="1" t="str">
        <f t="shared" si="4"/>
        <v>Tensión no aplica</v>
      </c>
      <c r="AW15" s="2">
        <v>-0.69</v>
      </c>
      <c r="AX15" s="3">
        <f t="shared" si="5"/>
        <v>46.906199999999998</v>
      </c>
      <c r="AY15" s="2">
        <v>0.1</v>
      </c>
      <c r="AZ15" s="2">
        <v>0</v>
      </c>
      <c r="BA15" s="2" t="s">
        <v>27</v>
      </c>
    </row>
    <row r="16" spans="3:53" x14ac:dyDescent="0.3">
      <c r="C16" s="8">
        <f>'Pull out test IPE 160'!C12</f>
        <v>4.74</v>
      </c>
      <c r="D16" s="1">
        <f>'Pull out test IPE 160'!D12*'Interpolación para W8X10'!$E$5</f>
        <v>1785</v>
      </c>
      <c r="K16" s="7">
        <f>'Pull out test IPE 160'!K12</f>
        <v>0.71</v>
      </c>
      <c r="L16" s="1">
        <f>'Pull out test IPE 160'!L12*'Interpolación para W8X10'!$E$5</f>
        <v>1693.780487804878</v>
      </c>
      <c r="T16" s="6">
        <f>'Pull out test IPE 160'!T12</f>
        <v>7.73</v>
      </c>
      <c r="U16" s="5">
        <f>'Pull out test IPE 160'!U12*'Interpolación para W8X10'!$E$5</f>
        <v>2363.4146341463415</v>
      </c>
      <c r="AK16" s="2" t="s">
        <v>21</v>
      </c>
      <c r="AL16" s="11">
        <v>0</v>
      </c>
      <c r="AM16" s="11">
        <v>-2.35</v>
      </c>
      <c r="AN16" s="2">
        <f t="shared" si="0"/>
        <v>-239.62950000000001</v>
      </c>
      <c r="AO16" s="2">
        <v>2736.59</v>
      </c>
      <c r="AP16" s="2">
        <f t="shared" si="1"/>
        <v>11.420088094328953</v>
      </c>
      <c r="AQ16" s="2">
        <v>2.27</v>
      </c>
      <c r="AR16" s="2">
        <f t="shared" si="2"/>
        <v>231.47190000000001</v>
      </c>
      <c r="AS16" s="2">
        <v>-2413</v>
      </c>
      <c r="AT16" s="1" t="str">
        <f t="shared" si="3"/>
        <v>Compresión no aplica</v>
      </c>
      <c r="AU16" s="2">
        <v>881.1</v>
      </c>
      <c r="AV16" s="1">
        <f t="shared" si="4"/>
        <v>3.8065095590436679</v>
      </c>
      <c r="AW16" s="2">
        <v>3.51</v>
      </c>
      <c r="AX16" s="3">
        <f t="shared" si="5"/>
        <v>-239.62950000000001</v>
      </c>
      <c r="AY16" s="2">
        <v>-0.23</v>
      </c>
      <c r="AZ16" s="2">
        <v>0</v>
      </c>
      <c r="BA16" s="2" t="s">
        <v>28</v>
      </c>
    </row>
    <row r="17" spans="3:53" x14ac:dyDescent="0.3">
      <c r="C17" s="8">
        <f>'Pull out test IPE 160'!C13</f>
        <v>12.09</v>
      </c>
      <c r="D17" s="1">
        <f>'Pull out test IPE 160'!D13*'Interpolación para W8X10'!$E$5</f>
        <v>2139.5121951219512</v>
      </c>
      <c r="K17" s="7">
        <f>'Pull out test IPE 160'!K13</f>
        <v>1.1100000000000001</v>
      </c>
      <c r="L17" s="1">
        <f>'Pull out test IPE 160'!L13*'Interpolación para W8X10'!$E$5</f>
        <v>2168.5365853658536</v>
      </c>
      <c r="T17" s="6">
        <f>'Pull out test IPE 160'!T13</f>
        <v>18.87</v>
      </c>
      <c r="U17" s="5">
        <f>'Pull out test IPE 160'!U13*'Interpolación para W8X10'!$E$5</f>
        <v>2848.5365853658536</v>
      </c>
      <c r="AK17" s="2" t="s">
        <v>21</v>
      </c>
      <c r="AL17" s="2">
        <v>0</v>
      </c>
      <c r="AM17" s="2">
        <v>2.02</v>
      </c>
      <c r="AN17" s="2">
        <f t="shared" si="0"/>
        <v>205.9794</v>
      </c>
      <c r="AO17" s="2">
        <v>2736.59</v>
      </c>
      <c r="AP17" s="2">
        <f t="shared" si="1"/>
        <v>13.28574605033319</v>
      </c>
      <c r="AQ17" s="2">
        <v>-0.28000000000000003</v>
      </c>
      <c r="AR17" s="2">
        <f t="shared" si="2"/>
        <v>-28.551600000000004</v>
      </c>
      <c r="AS17" s="2">
        <v>-2413</v>
      </c>
      <c r="AT17" s="1">
        <f t="shared" si="3"/>
        <v>84.513652474817505</v>
      </c>
      <c r="AU17" s="2">
        <v>881.1</v>
      </c>
      <c r="AV17" s="1" t="str">
        <f t="shared" si="4"/>
        <v>Tensión no aplica</v>
      </c>
      <c r="AW17" s="2">
        <v>-3.02</v>
      </c>
      <c r="AX17" s="3">
        <f t="shared" si="5"/>
        <v>205.9794</v>
      </c>
      <c r="AY17" s="2">
        <v>0.04</v>
      </c>
      <c r="AZ17" s="2">
        <v>0</v>
      </c>
      <c r="BA17" s="2" t="s">
        <v>29</v>
      </c>
    </row>
    <row r="18" spans="3:53" x14ac:dyDescent="0.3">
      <c r="C18" s="8">
        <f>'Pull out test IPE 160'!C14</f>
        <v>25.59</v>
      </c>
      <c r="D18" s="1">
        <f>'Pull out test IPE 160'!D14*'Interpolación para W8X10'!$E$5</f>
        <v>2413.1707317073174</v>
      </c>
      <c r="K18" s="7">
        <f>'Pull out test IPE 160'!K14</f>
        <v>2.16</v>
      </c>
      <c r="L18" s="1">
        <f>'Pull out test IPE 160'!L14*'Interpolación para W8X10'!$E$5</f>
        <v>2699.268292682927</v>
      </c>
      <c r="T18" s="6">
        <f>'Pull out test IPE 160'!T14</f>
        <v>25.49</v>
      </c>
      <c r="U18" s="5">
        <f>'Pull out test IPE 160'!U14*'Interpolación para W8X10'!$E$5</f>
        <v>2906.5853658536585</v>
      </c>
      <c r="AK18" s="2" t="s">
        <v>21</v>
      </c>
      <c r="AL18" s="2">
        <v>0</v>
      </c>
      <c r="AM18" s="2">
        <v>1E-4</v>
      </c>
      <c r="AN18" s="2">
        <f>AM18*101.97</f>
        <v>1.0197000000000001E-2</v>
      </c>
      <c r="AO18" s="2">
        <v>2736.59</v>
      </c>
      <c r="AP18" s="2">
        <f>ABS(AO18/AN18)</f>
        <v>268372.07021673041</v>
      </c>
      <c r="AQ18" s="2">
        <v>1.51</v>
      </c>
      <c r="AR18" s="2">
        <f t="shared" si="2"/>
        <v>153.97470000000001</v>
      </c>
      <c r="AS18" s="2">
        <v>-2413</v>
      </c>
      <c r="AT18" s="1" t="str">
        <f t="shared" si="3"/>
        <v>Compresión no aplica</v>
      </c>
      <c r="AU18" s="2">
        <v>881.1</v>
      </c>
      <c r="AV18" s="1">
        <f t="shared" si="4"/>
        <v>5.7223686748537252</v>
      </c>
      <c r="AW18" s="2">
        <v>0</v>
      </c>
      <c r="AX18" s="3">
        <f t="shared" si="5"/>
        <v>1.0197000000000001E-2</v>
      </c>
      <c r="AY18" s="2">
        <v>-0.14000000000000001</v>
      </c>
      <c r="AZ18" s="2">
        <v>0</v>
      </c>
      <c r="BA18" s="2" t="s">
        <v>30</v>
      </c>
    </row>
    <row r="19" spans="3:53" x14ac:dyDescent="0.3">
      <c r="C19" s="1" t="s">
        <v>7</v>
      </c>
      <c r="D19" s="1">
        <v>2.5</v>
      </c>
      <c r="K19" s="7">
        <f>'Pull out test IPE 160'!K15</f>
        <v>3.51</v>
      </c>
      <c r="L19" s="1">
        <f>'Pull out test IPE 160'!L15*'Interpolación para W8X10'!$E$5</f>
        <v>3006.0975609756097</v>
      </c>
      <c r="T19" s="5" t="s">
        <v>7</v>
      </c>
      <c r="U19" s="5">
        <v>2.5</v>
      </c>
      <c r="AK19" s="2" t="s">
        <v>21</v>
      </c>
      <c r="AL19" s="2">
        <v>0</v>
      </c>
      <c r="AM19" s="2">
        <v>-0.23</v>
      </c>
      <c r="AN19" s="2">
        <f t="shared" si="0"/>
        <v>-23.453099999999999</v>
      </c>
      <c r="AO19" s="2">
        <v>2736.59</v>
      </c>
      <c r="AP19" s="2">
        <f t="shared" si="1"/>
        <v>116.68350878988279</v>
      </c>
      <c r="AQ19" s="2">
        <v>1.67</v>
      </c>
      <c r="AR19" s="2">
        <f t="shared" si="2"/>
        <v>170.28989999999999</v>
      </c>
      <c r="AS19" s="2">
        <v>-2413</v>
      </c>
      <c r="AT19" s="1" t="str">
        <f t="shared" si="3"/>
        <v>Compresión no aplica</v>
      </c>
      <c r="AU19" s="2">
        <v>881.1</v>
      </c>
      <c r="AV19" s="1">
        <f t="shared" si="4"/>
        <v>5.1741177838497769</v>
      </c>
      <c r="AW19" s="2">
        <v>0.35</v>
      </c>
      <c r="AX19" s="3">
        <f t="shared" si="5"/>
        <v>-23.453099999999999</v>
      </c>
      <c r="AY19" s="2">
        <v>-0.16</v>
      </c>
      <c r="AZ19" s="2">
        <v>0</v>
      </c>
      <c r="BA19" s="2" t="s">
        <v>31</v>
      </c>
    </row>
    <row r="20" spans="3:53" x14ac:dyDescent="0.3">
      <c r="K20" s="7">
        <f>'Pull out test IPE 160'!K16</f>
        <v>6.53</v>
      </c>
      <c r="L20" s="1">
        <f>'Pull out test IPE 160'!L16*'Interpolación para W8X10'!$E$5</f>
        <v>3424.8780487804879</v>
      </c>
      <c r="AK20" s="2" t="s">
        <v>21</v>
      </c>
      <c r="AL20" s="2">
        <v>0</v>
      </c>
      <c r="AM20" s="2">
        <v>-0.23</v>
      </c>
      <c r="AN20" s="2">
        <f t="shared" si="0"/>
        <v>-23.453099999999999</v>
      </c>
      <c r="AO20" s="2">
        <v>2736.59</v>
      </c>
      <c r="AP20" s="2">
        <f t="shared" si="1"/>
        <v>116.68350878988279</v>
      </c>
      <c r="AQ20" s="2">
        <v>1.06</v>
      </c>
      <c r="AR20" s="2">
        <f t="shared" si="2"/>
        <v>108.0882</v>
      </c>
      <c r="AS20" s="2">
        <v>-2413</v>
      </c>
      <c r="AT20" s="1" t="str">
        <f t="shared" si="3"/>
        <v>Compresión no aplica</v>
      </c>
      <c r="AU20" s="2">
        <v>881.1</v>
      </c>
      <c r="AV20" s="1">
        <f t="shared" si="4"/>
        <v>8.1516761311595527</v>
      </c>
      <c r="AW20" s="2">
        <v>0.35</v>
      </c>
      <c r="AX20" s="3">
        <f t="shared" si="5"/>
        <v>-23.453099999999999</v>
      </c>
      <c r="AY20" s="2">
        <v>-0.1</v>
      </c>
      <c r="AZ20" s="2">
        <v>0</v>
      </c>
      <c r="BA20" s="2" t="s">
        <v>32</v>
      </c>
    </row>
    <row r="21" spans="3:53" x14ac:dyDescent="0.3">
      <c r="K21" s="7">
        <f>'Pull out test IPE 160'!K17</f>
        <v>14.79</v>
      </c>
      <c r="L21" s="1">
        <f>'Pull out test IPE 160'!L17*'Interpolación para W8X10'!$E$5</f>
        <v>3860.2439024390246</v>
      </c>
      <c r="AK21" s="2" t="s">
        <v>21</v>
      </c>
      <c r="AL21" s="2">
        <v>0</v>
      </c>
      <c r="AM21" s="2">
        <v>-0.39</v>
      </c>
      <c r="AN21" s="2">
        <f t="shared" si="0"/>
        <v>-39.768300000000004</v>
      </c>
      <c r="AO21" s="2">
        <v>2736.59</v>
      </c>
      <c r="AP21" s="2">
        <f t="shared" si="1"/>
        <v>68.813351337623175</v>
      </c>
      <c r="AQ21" s="2">
        <v>3</v>
      </c>
      <c r="AR21" s="2">
        <f t="shared" si="2"/>
        <v>305.90999999999997</v>
      </c>
      <c r="AS21" s="2">
        <v>-2413</v>
      </c>
      <c r="AT21" s="1" t="str">
        <f t="shared" si="3"/>
        <v>Compresión no aplica</v>
      </c>
      <c r="AU21" s="2">
        <v>881.1</v>
      </c>
      <c r="AV21" s="1">
        <f t="shared" si="4"/>
        <v>2.8802588996763756</v>
      </c>
      <c r="AW21" s="2">
        <v>0.59</v>
      </c>
      <c r="AX21" s="3">
        <f t="shared" si="5"/>
        <v>-39.768300000000004</v>
      </c>
      <c r="AY21" s="2">
        <v>-0.3</v>
      </c>
      <c r="AZ21" s="2">
        <v>0</v>
      </c>
      <c r="BA21" s="2" t="s">
        <v>33</v>
      </c>
    </row>
    <row r="22" spans="3:53" x14ac:dyDescent="0.3">
      <c r="K22" s="7">
        <f>'Pull out test IPE 160'!K18</f>
        <v>25.65</v>
      </c>
      <c r="L22" s="1">
        <f>'Pull out test IPE 160'!L18*'Interpolación para W8X10'!$E$5</f>
        <v>4005.3658536585367</v>
      </c>
      <c r="AK22" s="2" t="s">
        <v>21</v>
      </c>
      <c r="AL22" s="2">
        <v>0</v>
      </c>
      <c r="AM22" s="2">
        <v>0.35</v>
      </c>
      <c r="AN22" s="2">
        <f t="shared" si="0"/>
        <v>35.689499999999995</v>
      </c>
      <c r="AO22" s="2">
        <v>2736.59</v>
      </c>
      <c r="AP22" s="2">
        <f t="shared" si="1"/>
        <v>76.677734347637269</v>
      </c>
      <c r="AQ22" s="2">
        <v>0.2</v>
      </c>
      <c r="AR22" s="2">
        <f t="shared" si="2"/>
        <v>20.394000000000002</v>
      </c>
      <c r="AS22" s="2">
        <v>-2413</v>
      </c>
      <c r="AT22" s="1" t="str">
        <f t="shared" si="3"/>
        <v>Compresión no aplica</v>
      </c>
      <c r="AU22" s="2">
        <v>881.1</v>
      </c>
      <c r="AV22" s="1">
        <f t="shared" si="4"/>
        <v>43.203883495145625</v>
      </c>
      <c r="AW22" s="2">
        <v>-0.52</v>
      </c>
      <c r="AX22" s="3">
        <f t="shared" si="5"/>
        <v>35.689499999999995</v>
      </c>
      <c r="AY22" s="2">
        <v>0</v>
      </c>
      <c r="AZ22" s="2">
        <v>0</v>
      </c>
      <c r="BA22" s="2" t="s">
        <v>34</v>
      </c>
    </row>
    <row r="23" spans="3:53" x14ac:dyDescent="0.3">
      <c r="K23" s="1" t="s">
        <v>7</v>
      </c>
      <c r="L23" s="1">
        <v>2.5</v>
      </c>
      <c r="AK23" s="2" t="s">
        <v>21</v>
      </c>
      <c r="AL23" s="11">
        <v>0</v>
      </c>
      <c r="AM23" s="11">
        <v>-1.76</v>
      </c>
      <c r="AN23" s="2">
        <f t="shared" si="0"/>
        <v>-179.46719999999999</v>
      </c>
      <c r="AO23" s="2">
        <v>2736.59</v>
      </c>
      <c r="AP23" s="2">
        <f t="shared" si="1"/>
        <v>15.248413080496048</v>
      </c>
      <c r="AQ23" s="2">
        <v>2.54</v>
      </c>
      <c r="AR23" s="2">
        <f t="shared" si="2"/>
        <v>259.00380000000001</v>
      </c>
      <c r="AS23" s="2">
        <v>-2413</v>
      </c>
      <c r="AT23" s="1" t="str">
        <f t="shared" si="3"/>
        <v>Compresión no aplica</v>
      </c>
      <c r="AU23" s="2">
        <v>881.1</v>
      </c>
      <c r="AV23" s="1">
        <f t="shared" si="4"/>
        <v>3.4018805901689473</v>
      </c>
      <c r="AW23" s="2">
        <v>2.63</v>
      </c>
      <c r="AX23" s="3">
        <f t="shared" si="5"/>
        <v>-179.46719999999999</v>
      </c>
      <c r="AY23" s="2">
        <v>-0.25</v>
      </c>
      <c r="AZ23" s="2">
        <v>0</v>
      </c>
      <c r="BA23" s="2" t="s">
        <v>35</v>
      </c>
    </row>
    <row r="24" spans="3:53" x14ac:dyDescent="0.3">
      <c r="AK24" s="2" t="s">
        <v>21</v>
      </c>
      <c r="AL24" s="2">
        <v>0</v>
      </c>
      <c r="AM24" s="2">
        <v>1.51</v>
      </c>
      <c r="AN24" s="2">
        <f t="shared" si="0"/>
        <v>153.97470000000001</v>
      </c>
      <c r="AO24" s="2">
        <v>2736.59</v>
      </c>
      <c r="AP24" s="2">
        <f t="shared" si="1"/>
        <v>17.772984782564926</v>
      </c>
      <c r="AQ24" s="2">
        <v>0.62</v>
      </c>
      <c r="AR24" s="2">
        <f t="shared" si="2"/>
        <v>63.221399999999996</v>
      </c>
      <c r="AS24" s="2">
        <v>-2413</v>
      </c>
      <c r="AT24" s="1" t="str">
        <f t="shared" si="3"/>
        <v>Compresión no aplica</v>
      </c>
      <c r="AU24" s="2">
        <v>881.1</v>
      </c>
      <c r="AV24" s="1">
        <f t="shared" si="4"/>
        <v>13.936736611337302</v>
      </c>
      <c r="AW24" s="2">
        <v>-2.27</v>
      </c>
      <c r="AX24" s="3">
        <f t="shared" si="5"/>
        <v>153.97470000000001</v>
      </c>
      <c r="AY24" s="2">
        <v>-0.05</v>
      </c>
      <c r="AZ24" s="2">
        <v>0</v>
      </c>
      <c r="BA24" s="2" t="s">
        <v>36</v>
      </c>
    </row>
    <row r="25" spans="3:53" x14ac:dyDescent="0.3">
      <c r="AK25" s="2" t="s">
        <v>21</v>
      </c>
      <c r="AL25" s="2">
        <v>0</v>
      </c>
      <c r="AM25" s="2">
        <v>-0.88</v>
      </c>
      <c r="AN25" s="2">
        <f t="shared" si="0"/>
        <v>-89.733599999999996</v>
      </c>
      <c r="AO25" s="2">
        <v>2736.59</v>
      </c>
      <c r="AP25" s="2">
        <f t="shared" si="1"/>
        <v>30.496826160992097</v>
      </c>
      <c r="AQ25" s="2">
        <v>5.62</v>
      </c>
      <c r="AR25" s="2">
        <f t="shared" si="2"/>
        <v>573.07140000000004</v>
      </c>
      <c r="AS25" s="2">
        <v>-2413</v>
      </c>
      <c r="AT25" s="1" t="str">
        <f t="shared" si="3"/>
        <v>Compresión no aplica</v>
      </c>
      <c r="AU25" s="2">
        <v>881.1</v>
      </c>
      <c r="AV25" s="1">
        <f>IF(AU25/AR25&gt;=0,AU25/AR25, "Tensión no aplica")</f>
        <v>1.5375047507169264</v>
      </c>
      <c r="AW25" s="2">
        <v>1.32</v>
      </c>
      <c r="AX25" s="3">
        <f t="shared" si="5"/>
        <v>-89.733599999999996</v>
      </c>
      <c r="AY25" s="2">
        <v>0.04</v>
      </c>
      <c r="AZ25" s="2">
        <v>0</v>
      </c>
      <c r="BA25" s="2" t="s">
        <v>22</v>
      </c>
    </row>
    <row r="26" spans="3:53" x14ac:dyDescent="0.3">
      <c r="AK26" s="2" t="s">
        <v>21</v>
      </c>
      <c r="AL26" s="2">
        <v>0</v>
      </c>
      <c r="AM26" s="2">
        <v>0.77</v>
      </c>
      <c r="AN26" s="2">
        <f t="shared" si="0"/>
        <v>78.516900000000007</v>
      </c>
      <c r="AO26" s="2">
        <v>2736.59</v>
      </c>
      <c r="AP26" s="2">
        <f t="shared" si="1"/>
        <v>34.85351561256239</v>
      </c>
      <c r="AQ26" s="2">
        <v>-0.48</v>
      </c>
      <c r="AR26" s="2">
        <f t="shared" si="2"/>
        <v>-48.945599999999999</v>
      </c>
      <c r="AS26" s="2">
        <v>-2413</v>
      </c>
      <c r="AT26" s="1">
        <f t="shared" si="3"/>
        <v>49.299630610310224</v>
      </c>
      <c r="AU26" s="2">
        <v>881.1</v>
      </c>
      <c r="AV26" s="1" t="str">
        <f t="shared" si="4"/>
        <v>Tensión no aplica</v>
      </c>
      <c r="AW26" s="2">
        <v>-1.1599999999999999</v>
      </c>
      <c r="AX26" s="3">
        <f t="shared" si="5"/>
        <v>78.516900000000007</v>
      </c>
      <c r="AY26" s="2">
        <v>-0.01</v>
      </c>
      <c r="AZ26" s="2">
        <v>0</v>
      </c>
      <c r="BA26" s="2" t="s">
        <v>23</v>
      </c>
    </row>
    <row r="27" spans="3:53" x14ac:dyDescent="0.3">
      <c r="C27" s="13" t="s">
        <v>56</v>
      </c>
      <c r="D27" s="13"/>
      <c r="K27" s="13" t="s">
        <v>57</v>
      </c>
      <c r="L27" s="13"/>
      <c r="T27" s="13" t="s">
        <v>55</v>
      </c>
      <c r="U27" s="13"/>
      <c r="AK27" s="2" t="s">
        <v>21</v>
      </c>
      <c r="AL27" s="2">
        <v>0</v>
      </c>
      <c r="AM27" s="2">
        <v>-3.95</v>
      </c>
      <c r="AN27" s="2">
        <f t="shared" si="0"/>
        <v>-402.78149999999999</v>
      </c>
      <c r="AO27" s="2">
        <v>2736.59</v>
      </c>
      <c r="AP27" s="2">
        <f t="shared" si="1"/>
        <v>6.7942296257400105</v>
      </c>
      <c r="AQ27" s="2">
        <v>4.5999999999999996</v>
      </c>
      <c r="AR27" s="2">
        <f t="shared" si="2"/>
        <v>469.06199999999995</v>
      </c>
      <c r="AS27" s="2">
        <v>-2413</v>
      </c>
      <c r="AT27" s="1" t="str">
        <f t="shared" si="3"/>
        <v>Compresión no aplica</v>
      </c>
      <c r="AU27" s="2">
        <v>881.1</v>
      </c>
      <c r="AV27" s="1">
        <f t="shared" si="4"/>
        <v>1.8784297171802451</v>
      </c>
      <c r="AW27" s="2">
        <v>5.91</v>
      </c>
      <c r="AX27" s="3">
        <f t="shared" si="5"/>
        <v>-402.78149999999999</v>
      </c>
      <c r="AY27" s="2">
        <v>0.03</v>
      </c>
      <c r="AZ27" s="2">
        <v>0</v>
      </c>
      <c r="BA27" s="2" t="s">
        <v>24</v>
      </c>
    </row>
    <row r="28" spans="3:53" x14ac:dyDescent="0.3">
      <c r="C28" s="13" t="s">
        <v>4</v>
      </c>
      <c r="D28" s="13"/>
      <c r="K28" s="13" t="s">
        <v>4</v>
      </c>
      <c r="L28" s="13"/>
      <c r="T28" s="13" t="s">
        <v>4</v>
      </c>
      <c r="U28" s="13"/>
      <c r="AD28" s="9"/>
      <c r="AE28" s="10"/>
      <c r="AK28" s="2" t="s">
        <v>21</v>
      </c>
      <c r="AL28" s="2">
        <v>0</v>
      </c>
      <c r="AM28" s="2">
        <v>3.4</v>
      </c>
      <c r="AN28" s="2">
        <f t="shared" si="0"/>
        <v>346.69799999999998</v>
      </c>
      <c r="AO28" s="2">
        <v>2736.59</v>
      </c>
      <c r="AP28" s="2">
        <f t="shared" si="1"/>
        <v>7.8932961828450132</v>
      </c>
      <c r="AQ28" s="2">
        <v>0.43</v>
      </c>
      <c r="AR28" s="2">
        <f t="shared" si="2"/>
        <v>43.847099999999998</v>
      </c>
      <c r="AS28" s="2">
        <v>-2413</v>
      </c>
      <c r="AT28" s="1" t="str">
        <f t="shared" si="3"/>
        <v>Compresión no aplica</v>
      </c>
      <c r="AU28" s="2">
        <v>881.1</v>
      </c>
      <c r="AV28" s="1">
        <f t="shared" si="4"/>
        <v>20.094829532625877</v>
      </c>
      <c r="AW28" s="2">
        <v>-5.08</v>
      </c>
      <c r="AX28" s="3">
        <f t="shared" si="5"/>
        <v>346.69799999999998</v>
      </c>
      <c r="AY28" s="2">
        <v>0</v>
      </c>
      <c r="AZ28" s="2">
        <v>0</v>
      </c>
      <c r="BA28" s="2" t="s">
        <v>25</v>
      </c>
    </row>
    <row r="29" spans="3:53" x14ac:dyDescent="0.3">
      <c r="C29" s="1" t="s">
        <v>2</v>
      </c>
      <c r="D29" s="1" t="s">
        <v>1</v>
      </c>
      <c r="K29" s="2" t="s">
        <v>2</v>
      </c>
      <c r="L29" s="2" t="s">
        <v>1</v>
      </c>
      <c r="T29" s="2" t="s">
        <v>2</v>
      </c>
      <c r="U29" s="2" t="s">
        <v>1</v>
      </c>
      <c r="AD29" s="9"/>
      <c r="AE29" s="10"/>
      <c r="AK29" s="2" t="s">
        <v>21</v>
      </c>
      <c r="AL29" s="2">
        <v>0</v>
      </c>
      <c r="AM29" s="2">
        <v>-0.88</v>
      </c>
      <c r="AN29" s="2">
        <f t="shared" si="0"/>
        <v>-89.733599999999996</v>
      </c>
      <c r="AO29" s="2">
        <v>2736.59</v>
      </c>
      <c r="AP29" s="2">
        <f t="shared" si="1"/>
        <v>30.496826160992097</v>
      </c>
      <c r="AQ29" s="2">
        <v>4.67</v>
      </c>
      <c r="AR29" s="2">
        <f t="shared" si="2"/>
        <v>476.19990000000001</v>
      </c>
      <c r="AS29" s="2">
        <v>-2413</v>
      </c>
      <c r="AT29" s="1" t="str">
        <f t="shared" si="3"/>
        <v>Compresión no aplica</v>
      </c>
      <c r="AU29" s="2">
        <v>881.1</v>
      </c>
      <c r="AV29" s="1">
        <f t="shared" si="4"/>
        <v>1.8502733830897486</v>
      </c>
      <c r="AW29" s="2">
        <v>1.32</v>
      </c>
      <c r="AX29" s="3">
        <f t="shared" si="5"/>
        <v>-89.733599999999996</v>
      </c>
      <c r="AY29" s="2">
        <v>0.03</v>
      </c>
      <c r="AZ29" s="2">
        <v>0</v>
      </c>
      <c r="BA29" s="2" t="s">
        <v>26</v>
      </c>
    </row>
    <row r="30" spans="3:53" x14ac:dyDescent="0.3">
      <c r="C30" s="8">
        <f>'Pull out test IPE 160'!C26</f>
        <v>0</v>
      </c>
      <c r="D30" s="1">
        <f>'Pull out test IPE 160'!D26*'Interpolación para W8X10'!$E$5</f>
        <v>0</v>
      </c>
      <c r="K30" s="8">
        <f>'Pull out test IPE 160'!K26</f>
        <v>0</v>
      </c>
      <c r="L30" s="1">
        <f>'Pull out test IPE 160'!L9*'Interpolación para W8X10'!$E$5</f>
        <v>0</v>
      </c>
      <c r="T30" s="4">
        <f>'Pull out test IPE 160'!T26</f>
        <v>0</v>
      </c>
      <c r="U30" s="4">
        <f>'Pull out test IPE 160'!U26*'Interpolación para W8X10'!$E$5</f>
        <v>0</v>
      </c>
      <c r="AD30" s="9"/>
      <c r="AE30" s="10"/>
      <c r="AK30" s="2" t="s">
        <v>21</v>
      </c>
      <c r="AL30" s="11">
        <v>0</v>
      </c>
      <c r="AM30" s="11">
        <v>0.77</v>
      </c>
      <c r="AN30" s="2">
        <f t="shared" si="0"/>
        <v>78.516900000000007</v>
      </c>
      <c r="AO30" s="2">
        <v>2736.59</v>
      </c>
      <c r="AP30" s="2">
        <f t="shared" si="1"/>
        <v>34.85351561256239</v>
      </c>
      <c r="AQ30" s="2">
        <v>-1.43</v>
      </c>
      <c r="AR30" s="2">
        <f t="shared" si="2"/>
        <v>-145.81709999999998</v>
      </c>
      <c r="AS30" s="2">
        <v>-2413</v>
      </c>
      <c r="AT30" s="1">
        <f t="shared" si="3"/>
        <v>16.548127757306929</v>
      </c>
      <c r="AU30" s="2">
        <v>881.1</v>
      </c>
      <c r="AV30" s="1" t="str">
        <f t="shared" si="4"/>
        <v>Tensión no aplica</v>
      </c>
      <c r="AW30" s="2">
        <v>-1.1599999999999999</v>
      </c>
      <c r="AX30" s="3">
        <f t="shared" si="5"/>
        <v>78.516900000000007</v>
      </c>
      <c r="AY30" s="2">
        <v>-0.01</v>
      </c>
      <c r="AZ30" s="2">
        <v>0</v>
      </c>
      <c r="BA30" s="2" t="s">
        <v>27</v>
      </c>
    </row>
    <row r="31" spans="3:53" x14ac:dyDescent="0.3">
      <c r="C31" s="8">
        <f>'Pull out test IPE 160'!C27</f>
        <v>12.18</v>
      </c>
      <c r="D31" s="1">
        <f>'Pull out test IPE 160'!D27*'Interpolación para W8X10'!$E$5</f>
        <v>709.02439024390242</v>
      </c>
      <c r="K31" s="8">
        <f>'Pull out test IPE 160'!K27</f>
        <v>1.07</v>
      </c>
      <c r="L31" s="1">
        <f>'Pull out test IPE 160'!L10*'Interpolación para W8X10'!$E$5</f>
        <v>833.41463414634154</v>
      </c>
      <c r="T31" s="4">
        <f>'Pull out test IPE 160'!T27</f>
        <v>10.46</v>
      </c>
      <c r="U31" s="4">
        <f>'Pull out test IPE 160'!U27*'Interpolación para W8X10'!$E$5</f>
        <v>688.29268292682934</v>
      </c>
      <c r="AK31" s="2" t="s">
        <v>21</v>
      </c>
      <c r="AL31" s="2">
        <v>0</v>
      </c>
      <c r="AM31" s="2">
        <v>-3.95</v>
      </c>
      <c r="AN31" s="2">
        <f t="shared" si="0"/>
        <v>-402.78149999999999</v>
      </c>
      <c r="AO31" s="2">
        <v>2736.59</v>
      </c>
      <c r="AP31" s="2">
        <f t="shared" si="1"/>
        <v>6.7942296257400105</v>
      </c>
      <c r="AQ31" s="2">
        <v>3.65</v>
      </c>
      <c r="AR31" s="2">
        <f t="shared" si="2"/>
        <v>372.19049999999999</v>
      </c>
      <c r="AS31" s="2">
        <v>-2413</v>
      </c>
      <c r="AT31" s="1" t="str">
        <f t="shared" si="3"/>
        <v>Compresión no aplica</v>
      </c>
      <c r="AU31" s="2">
        <v>881.1</v>
      </c>
      <c r="AV31" s="1">
        <f t="shared" si="4"/>
        <v>2.3673360819257883</v>
      </c>
      <c r="AW31" s="2">
        <v>5.91</v>
      </c>
      <c r="AX31" s="3">
        <f t="shared" si="5"/>
        <v>-402.78149999999999</v>
      </c>
      <c r="AY31" s="2">
        <v>0.03</v>
      </c>
      <c r="AZ31" s="2">
        <v>0</v>
      </c>
      <c r="BA31" s="2" t="s">
        <v>28</v>
      </c>
    </row>
    <row r="32" spans="3:53" x14ac:dyDescent="0.3">
      <c r="C32" s="8">
        <f>'Pull out test IPE 160'!C28</f>
        <v>25.8</v>
      </c>
      <c r="D32" s="1">
        <f>'Pull out test IPE 160'!D28*'Interpolación para W8X10'!$E$5</f>
        <v>881.09756097560978</v>
      </c>
      <c r="K32" s="8">
        <f>'Pull out test IPE 160'!K28</f>
        <v>3.16</v>
      </c>
      <c r="L32" s="1">
        <f>'Pull out test IPE 160'!L11*'Interpolación para W8X10'!$E$5</f>
        <v>1281.219512195122</v>
      </c>
      <c r="T32" s="4">
        <f>'Pull out test IPE 160'!T28</f>
        <v>25.8</v>
      </c>
      <c r="U32" s="4">
        <f>'Pull out test IPE 160'!U28*'Interpolación para W8X10'!$E$5</f>
        <v>870.73170731707319</v>
      </c>
      <c r="AK32" s="2" t="s">
        <v>21</v>
      </c>
      <c r="AL32" s="2">
        <v>0</v>
      </c>
      <c r="AM32" s="2">
        <v>3.4</v>
      </c>
      <c r="AN32" s="2">
        <f t="shared" si="0"/>
        <v>346.69799999999998</v>
      </c>
      <c r="AO32" s="2">
        <v>2736.59</v>
      </c>
      <c r="AP32" s="2">
        <f t="shared" si="1"/>
        <v>7.8932961828450132</v>
      </c>
      <c r="AQ32" s="2">
        <v>-0.52</v>
      </c>
      <c r="AR32" s="2">
        <f t="shared" si="2"/>
        <v>-53.0244</v>
      </c>
      <c r="AS32" s="2">
        <v>-2413</v>
      </c>
      <c r="AT32" s="1">
        <f t="shared" si="3"/>
        <v>45.507351332594048</v>
      </c>
      <c r="AU32" s="2">
        <v>881.1</v>
      </c>
      <c r="AV32" s="1" t="str">
        <f t="shared" si="4"/>
        <v>Tensión no aplica</v>
      </c>
      <c r="AW32" s="2">
        <v>-5.08</v>
      </c>
      <c r="AX32" s="3">
        <f t="shared" si="5"/>
        <v>346.69799999999998</v>
      </c>
      <c r="AY32" s="2">
        <v>-0.01</v>
      </c>
      <c r="AZ32" s="2">
        <v>0</v>
      </c>
      <c r="BA32" s="2" t="s">
        <v>29</v>
      </c>
    </row>
    <row r="33" spans="3:53" x14ac:dyDescent="0.3">
      <c r="C33" s="1" t="s">
        <v>7</v>
      </c>
      <c r="D33" s="1">
        <v>2.5</v>
      </c>
      <c r="K33" s="8">
        <f>'Pull out test IPE 160'!K29</f>
        <v>6.78</v>
      </c>
      <c r="L33" s="1">
        <f>'Pull out test IPE 160'!L12*'Interpolación para W8X10'!$E$5</f>
        <v>1693.780487804878</v>
      </c>
      <c r="T33" s="2" t="s">
        <v>7</v>
      </c>
      <c r="U33" s="2">
        <v>2.5</v>
      </c>
      <c r="AK33" s="2" t="s">
        <v>21</v>
      </c>
      <c r="AL33" s="2">
        <v>0</v>
      </c>
      <c r="AM33" s="2">
        <v>0</v>
      </c>
      <c r="AN33" s="2">
        <v>9.9999999999999995E-7</v>
      </c>
      <c r="AO33" s="2">
        <v>2736.59</v>
      </c>
      <c r="AP33" s="2">
        <f t="shared" si="1"/>
        <v>2736590000.0000005</v>
      </c>
      <c r="AQ33" s="2">
        <v>2.37</v>
      </c>
      <c r="AR33" s="2">
        <f t="shared" si="2"/>
        <v>241.66890000000001</v>
      </c>
      <c r="AS33" s="2">
        <v>-2413</v>
      </c>
      <c r="AT33" s="1" t="str">
        <f t="shared" si="3"/>
        <v>Compresión no aplica</v>
      </c>
      <c r="AU33" s="2">
        <v>881.1</v>
      </c>
      <c r="AV33" s="1">
        <f t="shared" si="4"/>
        <v>3.6458973413625007</v>
      </c>
      <c r="AW33" s="2">
        <v>0</v>
      </c>
      <c r="AX33" s="3">
        <f t="shared" si="5"/>
        <v>0</v>
      </c>
      <c r="AY33" s="2">
        <v>0.02</v>
      </c>
      <c r="AZ33" s="2">
        <v>0</v>
      </c>
      <c r="BA33" s="2" t="s">
        <v>30</v>
      </c>
    </row>
    <row r="34" spans="3:53" x14ac:dyDescent="0.3">
      <c r="K34" s="8">
        <f>'Pull out test IPE 160'!K30</f>
        <v>25.5</v>
      </c>
      <c r="L34" s="1">
        <f>'Pull out test IPE 160'!L13*'Interpolación para W8X10'!$E$5</f>
        <v>2168.5365853658536</v>
      </c>
      <c r="AK34" s="2" t="s">
        <v>21</v>
      </c>
      <c r="AL34" s="2">
        <v>0</v>
      </c>
      <c r="AM34" s="2">
        <v>-0.39</v>
      </c>
      <c r="AN34" s="2">
        <f t="shared" si="0"/>
        <v>-39.768300000000004</v>
      </c>
      <c r="AO34" s="2">
        <v>2736.59</v>
      </c>
      <c r="AP34" s="2">
        <f t="shared" si="1"/>
        <v>68.813351337623175</v>
      </c>
      <c r="AQ34" s="2">
        <v>2.63</v>
      </c>
      <c r="AR34" s="2">
        <f t="shared" si="2"/>
        <v>268.18109999999996</v>
      </c>
      <c r="AS34" s="2">
        <v>-2413</v>
      </c>
      <c r="AT34" s="1" t="str">
        <f t="shared" si="3"/>
        <v>Compresión no aplica</v>
      </c>
      <c r="AU34" s="2">
        <v>881.1</v>
      </c>
      <c r="AV34" s="1">
        <f t="shared" si="4"/>
        <v>3.2854664254863604</v>
      </c>
      <c r="AW34" s="2">
        <v>0.57999999999999996</v>
      </c>
      <c r="AX34" s="3">
        <f t="shared" si="5"/>
        <v>-39.768300000000004</v>
      </c>
      <c r="AY34" s="2">
        <v>0.02</v>
      </c>
      <c r="AZ34" s="2">
        <v>0</v>
      </c>
      <c r="BA34" s="2" t="s">
        <v>31</v>
      </c>
    </row>
    <row r="35" spans="3:53" x14ac:dyDescent="0.3">
      <c r="K35" s="1" t="s">
        <v>7</v>
      </c>
      <c r="L35" s="1">
        <v>2.5</v>
      </c>
      <c r="AK35" s="2" t="s">
        <v>21</v>
      </c>
      <c r="AL35" s="2">
        <v>0</v>
      </c>
      <c r="AM35" s="2">
        <v>-0.39</v>
      </c>
      <c r="AN35" s="2">
        <f t="shared" si="0"/>
        <v>-39.768300000000004</v>
      </c>
      <c r="AO35" s="2">
        <v>2736.59</v>
      </c>
      <c r="AP35" s="2">
        <f t="shared" si="1"/>
        <v>68.813351337623175</v>
      </c>
      <c r="AQ35" s="2">
        <v>1.68</v>
      </c>
      <c r="AR35" s="2">
        <f t="shared" si="2"/>
        <v>171.30959999999999</v>
      </c>
      <c r="AS35" s="2">
        <v>-2413</v>
      </c>
      <c r="AT35" s="1" t="str">
        <f t="shared" si="3"/>
        <v>Compresión no aplica</v>
      </c>
      <c r="AU35" s="2">
        <v>881.1</v>
      </c>
      <c r="AV35" s="1">
        <f t="shared" si="4"/>
        <v>5.1433194637078135</v>
      </c>
      <c r="AW35" s="2">
        <v>0.57999999999999996</v>
      </c>
      <c r="AX35" s="3">
        <f t="shared" si="5"/>
        <v>-39.768300000000004</v>
      </c>
      <c r="AY35" s="2">
        <v>0.01</v>
      </c>
      <c r="AZ35" s="2">
        <v>0</v>
      </c>
      <c r="BA35" s="2" t="s">
        <v>32</v>
      </c>
    </row>
    <row r="36" spans="3:53" x14ac:dyDescent="0.3">
      <c r="AK36" s="2" t="s">
        <v>21</v>
      </c>
      <c r="AL36" s="2">
        <v>0</v>
      </c>
      <c r="AM36" s="2">
        <v>-0.66</v>
      </c>
      <c r="AN36" s="2">
        <f t="shared" si="0"/>
        <v>-67.300200000000004</v>
      </c>
      <c r="AO36" s="2">
        <v>2736.59</v>
      </c>
      <c r="AP36" s="2">
        <f t="shared" si="1"/>
        <v>40.662434881322788</v>
      </c>
      <c r="AQ36" s="2">
        <v>4.8099999999999996</v>
      </c>
      <c r="AR36" s="2">
        <f t="shared" si="2"/>
        <v>490.47569999999996</v>
      </c>
      <c r="AS36" s="2">
        <v>-2413</v>
      </c>
      <c r="AT36" s="1" t="str">
        <f t="shared" si="3"/>
        <v>Compresión no aplica</v>
      </c>
      <c r="AU36" s="2">
        <v>881.1</v>
      </c>
      <c r="AV36" s="1">
        <f t="shared" si="4"/>
        <v>1.7964192721474277</v>
      </c>
      <c r="AW36" s="2">
        <v>0.99</v>
      </c>
      <c r="AX36" s="3">
        <f t="shared" si="5"/>
        <v>-67.300200000000004</v>
      </c>
      <c r="AY36" s="2">
        <v>0.03</v>
      </c>
      <c r="AZ36" s="2">
        <v>0</v>
      </c>
      <c r="BA36" s="2" t="s">
        <v>33</v>
      </c>
    </row>
    <row r="37" spans="3:53" x14ac:dyDescent="0.3">
      <c r="AK37" s="2" t="s">
        <v>21</v>
      </c>
      <c r="AL37" s="11">
        <v>0</v>
      </c>
      <c r="AM37" s="11">
        <v>0.57999999999999996</v>
      </c>
      <c r="AN37" s="2">
        <f t="shared" si="0"/>
        <v>59.142599999999995</v>
      </c>
      <c r="AO37" s="2">
        <v>2736.59</v>
      </c>
      <c r="AP37" s="2">
        <f t="shared" si="1"/>
        <v>46.271046589091455</v>
      </c>
      <c r="AQ37" s="2">
        <v>0.23</v>
      </c>
      <c r="AR37" s="2">
        <f t="shared" si="2"/>
        <v>23.453099999999999</v>
      </c>
      <c r="AS37" s="2">
        <v>-2413</v>
      </c>
      <c r="AT37" s="1" t="str">
        <f t="shared" si="3"/>
        <v>Compresión no aplica</v>
      </c>
      <c r="AU37" s="2">
        <v>881.1</v>
      </c>
      <c r="AV37" s="1">
        <f t="shared" si="4"/>
        <v>37.5685943436049</v>
      </c>
      <c r="AW37" s="2">
        <v>-0.87</v>
      </c>
      <c r="AX37" s="3">
        <f t="shared" si="5"/>
        <v>59.142599999999995</v>
      </c>
      <c r="AY37" s="2">
        <v>0</v>
      </c>
      <c r="AZ37" s="2">
        <v>0</v>
      </c>
      <c r="BA37" s="2" t="s">
        <v>34</v>
      </c>
    </row>
    <row r="38" spans="3:53" x14ac:dyDescent="0.3">
      <c r="AK38" s="2" t="s">
        <v>21</v>
      </c>
      <c r="AL38" s="2">
        <v>0</v>
      </c>
      <c r="AM38" s="2">
        <v>-2.96</v>
      </c>
      <c r="AN38" s="2">
        <f t="shared" si="0"/>
        <v>-301.83119999999997</v>
      </c>
      <c r="AO38" s="2">
        <v>2736.59</v>
      </c>
      <c r="AP38" s="2">
        <f t="shared" si="1"/>
        <v>9.0666239938084612</v>
      </c>
      <c r="AQ38" s="2">
        <v>4.04</v>
      </c>
      <c r="AR38" s="2">
        <f t="shared" si="2"/>
        <v>411.9588</v>
      </c>
      <c r="AS38" s="2">
        <v>-2413</v>
      </c>
      <c r="AT38" s="1" t="str">
        <f t="shared" si="3"/>
        <v>Compresión no aplica</v>
      </c>
      <c r="AU38" s="2">
        <v>881.1</v>
      </c>
      <c r="AV38" s="1">
        <f t="shared" si="4"/>
        <v>2.138806113621071</v>
      </c>
      <c r="AW38" s="2">
        <v>4.43</v>
      </c>
      <c r="AX38" s="3">
        <f t="shared" si="5"/>
        <v>-301.83119999999997</v>
      </c>
      <c r="AY38" s="2">
        <v>0.03</v>
      </c>
      <c r="AZ38" s="2">
        <v>0</v>
      </c>
      <c r="BA38" s="2" t="s">
        <v>35</v>
      </c>
    </row>
    <row r="39" spans="3:53" x14ac:dyDescent="0.3">
      <c r="AK39" s="2" t="s">
        <v>21</v>
      </c>
      <c r="AL39" s="2">
        <v>0</v>
      </c>
      <c r="AM39" s="2">
        <v>2.5499999999999998</v>
      </c>
      <c r="AN39" s="2">
        <f t="shared" si="0"/>
        <v>260.02349999999996</v>
      </c>
      <c r="AO39" s="2">
        <v>2736.59</v>
      </c>
      <c r="AP39" s="2">
        <f t="shared" si="1"/>
        <v>10.524394910460018</v>
      </c>
      <c r="AQ39" s="2">
        <v>0.92</v>
      </c>
      <c r="AR39" s="2">
        <f t="shared" si="2"/>
        <v>93.812399999999997</v>
      </c>
      <c r="AS39" s="2">
        <v>-2413</v>
      </c>
      <c r="AT39" s="1" t="str">
        <f t="shared" si="3"/>
        <v>Compresión no aplica</v>
      </c>
      <c r="AU39" s="2">
        <v>881.1</v>
      </c>
      <c r="AV39" s="1">
        <f t="shared" si="4"/>
        <v>9.392148585901225</v>
      </c>
      <c r="AW39" s="2">
        <v>-3.81</v>
      </c>
      <c r="AX39" s="3">
        <f t="shared" si="5"/>
        <v>260.02349999999996</v>
      </c>
      <c r="AY39" s="2">
        <v>0</v>
      </c>
      <c r="AZ39" s="2">
        <v>0</v>
      </c>
      <c r="BA39" s="2" t="s">
        <v>36</v>
      </c>
    </row>
    <row r="40" spans="3:53" x14ac:dyDescent="0.3">
      <c r="AK40" s="2" t="s">
        <v>21</v>
      </c>
      <c r="AL40" s="2">
        <v>0</v>
      </c>
      <c r="AM40" s="2">
        <v>-0.86</v>
      </c>
      <c r="AN40" s="2">
        <f t="shared" si="0"/>
        <v>-87.694199999999995</v>
      </c>
      <c r="AO40" s="2">
        <v>2736.59</v>
      </c>
      <c r="AP40" s="2">
        <f t="shared" si="1"/>
        <v>31.206054676364005</v>
      </c>
      <c r="AQ40" s="2">
        <v>5.5</v>
      </c>
      <c r="AR40" s="2">
        <f t="shared" si="2"/>
        <v>560.83500000000004</v>
      </c>
      <c r="AS40" s="2">
        <v>-2413</v>
      </c>
      <c r="AT40" s="1" t="str">
        <f t="shared" si="3"/>
        <v>Compresión no aplica</v>
      </c>
      <c r="AU40" s="2">
        <v>881.1</v>
      </c>
      <c r="AV40" s="1">
        <f t="shared" si="4"/>
        <v>1.5710503089143866</v>
      </c>
      <c r="AW40" s="2">
        <v>1.28</v>
      </c>
      <c r="AX40" s="3">
        <f t="shared" si="5"/>
        <v>-87.694199999999995</v>
      </c>
      <c r="AY40" s="2">
        <v>-0.02</v>
      </c>
      <c r="AZ40" s="2">
        <v>0</v>
      </c>
      <c r="BA40" s="2" t="s">
        <v>22</v>
      </c>
    </row>
    <row r="41" spans="3:53" x14ac:dyDescent="0.3">
      <c r="AK41" s="2" t="s">
        <v>21</v>
      </c>
      <c r="AL41" s="2">
        <v>0</v>
      </c>
      <c r="AM41" s="2">
        <v>0.76</v>
      </c>
      <c r="AN41" s="2">
        <f t="shared" si="0"/>
        <v>77.497200000000007</v>
      </c>
      <c r="AO41" s="2">
        <v>2736.59</v>
      </c>
      <c r="AP41" s="2">
        <f t="shared" si="1"/>
        <v>35.312114502201368</v>
      </c>
      <c r="AQ41" s="2">
        <v>-0.49</v>
      </c>
      <c r="AR41" s="2">
        <f t="shared" si="2"/>
        <v>-49.965299999999999</v>
      </c>
      <c r="AS41" s="2">
        <v>-2413</v>
      </c>
      <c r="AT41" s="1">
        <f t="shared" si="3"/>
        <v>48.293515699895728</v>
      </c>
      <c r="AU41" s="2">
        <v>881.1</v>
      </c>
      <c r="AV41" s="1" t="str">
        <f t="shared" si="4"/>
        <v>Tensión no aplica</v>
      </c>
      <c r="AW41" s="2">
        <v>-1.1299999999999999</v>
      </c>
      <c r="AX41" s="3">
        <f t="shared" si="5"/>
        <v>77.497200000000007</v>
      </c>
      <c r="AY41" s="2">
        <v>0.01</v>
      </c>
      <c r="AZ41" s="2">
        <v>0</v>
      </c>
      <c r="BA41" s="2" t="s">
        <v>23</v>
      </c>
    </row>
    <row r="42" spans="3:53" x14ac:dyDescent="0.3">
      <c r="C42" s="13" t="s">
        <v>58</v>
      </c>
      <c r="D42" s="13"/>
      <c r="K42" s="13" t="s">
        <v>59</v>
      </c>
      <c r="L42" s="13"/>
      <c r="T42" s="13" t="s">
        <v>60</v>
      </c>
      <c r="U42" s="13"/>
      <c r="AK42" s="2" t="s">
        <v>21</v>
      </c>
      <c r="AL42" s="2">
        <v>0</v>
      </c>
      <c r="AM42" s="2">
        <v>-3.82</v>
      </c>
      <c r="AN42" s="2">
        <f t="shared" si="0"/>
        <v>-389.52539999999999</v>
      </c>
      <c r="AO42" s="2">
        <v>2736.59</v>
      </c>
      <c r="AP42" s="2">
        <f t="shared" si="1"/>
        <v>7.0254468643123147</v>
      </c>
      <c r="AQ42" s="2">
        <v>4.5</v>
      </c>
      <c r="AR42" s="2">
        <f t="shared" si="2"/>
        <v>458.86500000000001</v>
      </c>
      <c r="AS42" s="2">
        <v>-2413</v>
      </c>
      <c r="AT42" s="1" t="str">
        <f t="shared" si="3"/>
        <v>Compresión no aplica</v>
      </c>
      <c r="AU42" s="2">
        <v>881.1</v>
      </c>
      <c r="AV42" s="1">
        <f t="shared" si="4"/>
        <v>1.9201725997842503</v>
      </c>
      <c r="AW42" s="2">
        <v>5.72</v>
      </c>
      <c r="AX42" s="3">
        <f t="shared" si="5"/>
        <v>-389.52539999999999</v>
      </c>
      <c r="AY42" s="2">
        <v>-0.02</v>
      </c>
      <c r="AZ42" s="2">
        <v>0</v>
      </c>
      <c r="BA42" s="2" t="s">
        <v>24</v>
      </c>
    </row>
    <row r="43" spans="3:53" x14ac:dyDescent="0.3">
      <c r="C43" s="13" t="s">
        <v>5</v>
      </c>
      <c r="D43" s="13"/>
      <c r="K43" s="13" t="s">
        <v>5</v>
      </c>
      <c r="L43" s="13"/>
      <c r="T43" s="13" t="s">
        <v>5</v>
      </c>
      <c r="U43" s="13"/>
      <c r="AK43" s="2" t="s">
        <v>21</v>
      </c>
      <c r="AL43" s="2">
        <v>0</v>
      </c>
      <c r="AM43" s="2">
        <v>3.29</v>
      </c>
      <c r="AN43" s="2">
        <f t="shared" si="0"/>
        <v>335.48129999999998</v>
      </c>
      <c r="AO43" s="2">
        <v>2736.59</v>
      </c>
      <c r="AP43" s="2">
        <f t="shared" si="1"/>
        <v>8.1572057816635386</v>
      </c>
      <c r="AQ43" s="2">
        <v>0.41</v>
      </c>
      <c r="AR43" s="2">
        <f t="shared" si="2"/>
        <v>41.807699999999997</v>
      </c>
      <c r="AS43" s="2">
        <v>-2413</v>
      </c>
      <c r="AT43" s="1" t="str">
        <f t="shared" si="3"/>
        <v>Compresión no aplica</v>
      </c>
      <c r="AU43" s="2">
        <v>881.1</v>
      </c>
      <c r="AV43" s="1">
        <f t="shared" si="4"/>
        <v>21.075065119583236</v>
      </c>
      <c r="AW43" s="2">
        <v>-4.93</v>
      </c>
      <c r="AX43" s="3">
        <f t="shared" si="5"/>
        <v>335.48129999999998</v>
      </c>
      <c r="AY43" s="2">
        <v>0</v>
      </c>
      <c r="AZ43" s="2">
        <v>0</v>
      </c>
      <c r="BA43" s="2" t="s">
        <v>25</v>
      </c>
    </row>
    <row r="44" spans="3:53" x14ac:dyDescent="0.3">
      <c r="C44" s="1" t="s">
        <v>2</v>
      </c>
      <c r="D44" s="1" t="s">
        <v>1</v>
      </c>
      <c r="K44" s="2" t="s">
        <v>2</v>
      </c>
      <c r="L44" s="2" t="s">
        <v>1</v>
      </c>
      <c r="T44" s="2" t="s">
        <v>2</v>
      </c>
      <c r="U44" s="2" t="s">
        <v>1</v>
      </c>
      <c r="AK44" s="2" t="s">
        <v>21</v>
      </c>
      <c r="AL44" s="11">
        <v>0</v>
      </c>
      <c r="AM44" s="11">
        <v>-0.86</v>
      </c>
      <c r="AN44" s="2">
        <f t="shared" si="0"/>
        <v>-87.694199999999995</v>
      </c>
      <c r="AO44" s="2">
        <v>2736.59</v>
      </c>
      <c r="AP44" s="2">
        <f t="shared" si="1"/>
        <v>31.206054676364005</v>
      </c>
      <c r="AQ44" s="2">
        <v>4.58</v>
      </c>
      <c r="AR44" s="2">
        <f t="shared" si="2"/>
        <v>467.02260000000001</v>
      </c>
      <c r="AS44" s="2">
        <v>-2413</v>
      </c>
      <c r="AT44" s="1" t="str">
        <f t="shared" si="3"/>
        <v>Compresión no aplica</v>
      </c>
      <c r="AU44" s="2">
        <v>881.1</v>
      </c>
      <c r="AV44" s="1">
        <f t="shared" si="4"/>
        <v>1.8866324670369272</v>
      </c>
      <c r="AW44" s="2">
        <v>1.28</v>
      </c>
      <c r="AX44" s="3">
        <f t="shared" si="5"/>
        <v>-87.694199999999995</v>
      </c>
      <c r="AY44" s="2">
        <v>-0.02</v>
      </c>
      <c r="AZ44" s="2">
        <v>0</v>
      </c>
      <c r="BA44" s="2" t="s">
        <v>26</v>
      </c>
    </row>
    <row r="45" spans="3:53" x14ac:dyDescent="0.3">
      <c r="C45" s="1">
        <f>'Pull out test IPE 160'!C41</f>
        <v>0</v>
      </c>
      <c r="D45" s="1">
        <f>'Pull out test IPE 160'!D41*'Interpolación para W8X10'!$E$5</f>
        <v>0</v>
      </c>
      <c r="K45" s="8">
        <f>'Pull out test IPE 160'!K41/'Interpolación para W8X10'!$E$5</f>
        <v>0</v>
      </c>
      <c r="L45" s="1">
        <f>'Pull out test IPE 160'!L41*'Interpolación para W8X10'!$E$5</f>
        <v>0</v>
      </c>
      <c r="T45" s="2">
        <v>0</v>
      </c>
      <c r="U45" s="2">
        <v>0</v>
      </c>
      <c r="AK45" s="2" t="s">
        <v>21</v>
      </c>
      <c r="AL45" s="2">
        <v>0</v>
      </c>
      <c r="AM45" s="2">
        <v>0.76</v>
      </c>
      <c r="AN45" s="2">
        <f t="shared" si="0"/>
        <v>77.497200000000007</v>
      </c>
      <c r="AO45" s="2">
        <v>2736.59</v>
      </c>
      <c r="AP45" s="2">
        <f t="shared" si="1"/>
        <v>35.312114502201368</v>
      </c>
      <c r="AQ45" s="2">
        <v>-1.42</v>
      </c>
      <c r="AR45" s="2">
        <f t="shared" si="2"/>
        <v>-144.79739999999998</v>
      </c>
      <c r="AS45" s="2">
        <v>-2413</v>
      </c>
      <c r="AT45" s="1">
        <f t="shared" si="3"/>
        <v>16.66466386827388</v>
      </c>
      <c r="AU45" s="2">
        <v>881.1</v>
      </c>
      <c r="AV45" s="1" t="str">
        <f t="shared" si="4"/>
        <v>Tensión no aplica</v>
      </c>
      <c r="AW45" s="2">
        <v>-1.1299999999999999</v>
      </c>
      <c r="AX45" s="3">
        <f t="shared" si="5"/>
        <v>77.497200000000007</v>
      </c>
      <c r="AY45" s="2">
        <v>0.01</v>
      </c>
      <c r="AZ45" s="2">
        <v>0</v>
      </c>
      <c r="BA45" s="2" t="s">
        <v>27</v>
      </c>
    </row>
    <row r="46" spans="3:53" x14ac:dyDescent="0.3">
      <c r="C46" s="1">
        <f>'Pull out test IPE 160'!C42</f>
        <v>4.4400000000000004</v>
      </c>
      <c r="D46" s="1">
        <f>'Pull out test IPE 160'!D42*'Interpolación para W8X10'!$E$5</f>
        <v>725.60975609756099</v>
      </c>
      <c r="K46" s="8">
        <f>'Pull out test IPE 160'!K42/'Interpolación para W8X10'!$E$5</f>
        <v>1.0611764705882354</v>
      </c>
      <c r="L46" s="1">
        <f>'Pull out test IPE 160'!L42*'Interpolación para W8X10'!$E$5</f>
        <v>642.68292682926835</v>
      </c>
      <c r="T46" s="2">
        <f>'Pull out test IPE 160'!T42</f>
        <v>3.08</v>
      </c>
      <c r="U46" s="2">
        <f>'Pull out test IPE 160'!U42*'Interpolación para W8X10'!$E$5</f>
        <v>663.41463414634154</v>
      </c>
      <c r="AK46" s="2" t="s">
        <v>21</v>
      </c>
      <c r="AL46" s="2">
        <v>0</v>
      </c>
      <c r="AM46" s="2">
        <v>-3.82</v>
      </c>
      <c r="AN46" s="2">
        <f t="shared" si="0"/>
        <v>-389.52539999999999</v>
      </c>
      <c r="AO46" s="2">
        <v>2736.59</v>
      </c>
      <c r="AP46" s="2">
        <f t="shared" si="1"/>
        <v>7.0254468643123147</v>
      </c>
      <c r="AQ46" s="2">
        <v>3.58</v>
      </c>
      <c r="AR46" s="2">
        <f t="shared" si="2"/>
        <v>365.05259999999998</v>
      </c>
      <c r="AS46" s="2">
        <v>-2413</v>
      </c>
      <c r="AT46" s="1" t="str">
        <f t="shared" si="3"/>
        <v>Compresión no aplica</v>
      </c>
      <c r="AU46" s="2">
        <v>881.1</v>
      </c>
      <c r="AV46" s="1">
        <f t="shared" si="4"/>
        <v>2.4136247762651193</v>
      </c>
      <c r="AW46" s="2">
        <v>5.72</v>
      </c>
      <c r="AX46" s="3">
        <f t="shared" si="5"/>
        <v>-389.52539999999999</v>
      </c>
      <c r="AY46" s="2">
        <v>-0.01</v>
      </c>
      <c r="AZ46" s="2">
        <v>0</v>
      </c>
      <c r="BA46" s="2" t="s">
        <v>28</v>
      </c>
    </row>
    <row r="47" spans="3:53" x14ac:dyDescent="0.3">
      <c r="C47" s="1">
        <f>'Pull out test IPE 160'!C43</f>
        <v>6.64</v>
      </c>
      <c r="D47" s="1">
        <f>'Pull out test IPE 160'!D43*'Interpolación para W8X10'!$E$5</f>
        <v>1086.3414634146343</v>
      </c>
      <c r="K47" s="8">
        <f>'Pull out test IPE 160'!K43/'Interpolación para W8X10'!$E$5</f>
        <v>1.5049411764705882</v>
      </c>
      <c r="L47" s="1">
        <f>'Pull out test IPE 160'!L43*'Interpolación para W8X10'!$E$5</f>
        <v>1140.2439024390244</v>
      </c>
      <c r="T47" s="2">
        <f>'Pull out test IPE 160'!T43</f>
        <v>4.28</v>
      </c>
      <c r="U47" s="2">
        <f>'Pull out test IPE 160'!U43*'Interpolación para W8X10'!$E$5</f>
        <v>1098.780487804878</v>
      </c>
      <c r="AK47" s="2" t="s">
        <v>21</v>
      </c>
      <c r="AL47" s="2">
        <v>0</v>
      </c>
      <c r="AM47" s="2">
        <v>3.29</v>
      </c>
      <c r="AN47" s="2">
        <f t="shared" si="0"/>
        <v>335.48129999999998</v>
      </c>
      <c r="AO47" s="2">
        <v>2736.59</v>
      </c>
      <c r="AP47" s="2">
        <f t="shared" si="1"/>
        <v>8.1572057816635386</v>
      </c>
      <c r="AQ47" s="2">
        <v>-0.52</v>
      </c>
      <c r="AR47" s="2">
        <f t="shared" si="2"/>
        <v>-53.0244</v>
      </c>
      <c r="AS47" s="2">
        <v>-2413</v>
      </c>
      <c r="AT47" s="1">
        <f t="shared" si="3"/>
        <v>45.507351332594048</v>
      </c>
      <c r="AU47" s="2">
        <v>881.1</v>
      </c>
      <c r="AV47" s="1" t="str">
        <f t="shared" si="4"/>
        <v>Tensión no aplica</v>
      </c>
      <c r="AW47" s="2">
        <v>-4.93</v>
      </c>
      <c r="AX47" s="3">
        <f t="shared" si="5"/>
        <v>335.48129999999998</v>
      </c>
      <c r="AY47" s="2">
        <v>0.01</v>
      </c>
      <c r="AZ47" s="2">
        <v>0</v>
      </c>
      <c r="BA47" s="2" t="s">
        <v>29</v>
      </c>
    </row>
    <row r="48" spans="3:53" x14ac:dyDescent="0.3">
      <c r="C48" s="1">
        <f>'Pull out test IPE 160'!C44</f>
        <v>10.11</v>
      </c>
      <c r="D48" s="1">
        <f>'Pull out test IPE 160'!D44*'Interpolación para W8X10'!$E$5</f>
        <v>1488.5365853658536</v>
      </c>
      <c r="K48" s="8">
        <f>'Pull out test IPE 160'!K44/'Interpolación para W8X10'!$E$5</f>
        <v>2.1368235294117643</v>
      </c>
      <c r="L48" s="1">
        <f>'Pull out test IPE 160'!L44*'Interpolación para W8X10'!$E$5</f>
        <v>1509.2682926829268</v>
      </c>
      <c r="T48" s="2">
        <f>'Pull out test IPE 160'!T44</f>
        <v>6.64</v>
      </c>
      <c r="U48" s="2">
        <f>'Pull out test IPE 160'!U44*'Interpolación para W8X10'!$E$5</f>
        <v>1538.2926829268292</v>
      </c>
      <c r="AK48" s="2" t="s">
        <v>21</v>
      </c>
      <c r="AL48" s="2">
        <v>0</v>
      </c>
      <c r="AM48" s="2">
        <v>0</v>
      </c>
      <c r="AN48" s="2">
        <v>1.0000000000000001E-5</v>
      </c>
      <c r="AO48" s="2">
        <v>2736.59</v>
      </c>
      <c r="AP48" s="2">
        <f t="shared" si="1"/>
        <v>273659000</v>
      </c>
      <c r="AQ48" s="2">
        <v>2.31</v>
      </c>
      <c r="AR48" s="2">
        <f t="shared" si="2"/>
        <v>235.55070000000001</v>
      </c>
      <c r="AS48" s="2">
        <v>-2413</v>
      </c>
      <c r="AT48" s="1" t="str">
        <f t="shared" si="3"/>
        <v>Compresión no aplica</v>
      </c>
      <c r="AU48" s="2">
        <v>881.1</v>
      </c>
      <c r="AV48" s="1">
        <f t="shared" si="4"/>
        <v>3.7405959736056822</v>
      </c>
      <c r="AW48" s="2">
        <v>0</v>
      </c>
      <c r="AX48" s="3">
        <f t="shared" si="5"/>
        <v>0</v>
      </c>
      <c r="AY48" s="2">
        <v>-0.01</v>
      </c>
      <c r="AZ48" s="2">
        <v>0</v>
      </c>
      <c r="BA48" s="2" t="s">
        <v>30</v>
      </c>
    </row>
    <row r="49" spans="3:53" x14ac:dyDescent="0.3">
      <c r="C49" s="1">
        <f>'Pull out test IPE 160'!C45</f>
        <v>17.260000000000002</v>
      </c>
      <c r="D49" s="1">
        <f>'Pull out test IPE 160'!D45*'Interpolación para W8X10'!$E$5</f>
        <v>2135.3658536585367</v>
      </c>
      <c r="K49" s="8">
        <f>'Pull out test IPE 160'!K45/'Interpolación para W8X10'!$E$5</f>
        <v>3.3234117647058823</v>
      </c>
      <c r="L49" s="1">
        <f>'Pull out test IPE 160'!L45*'Interpolación para W8X10'!$E$5</f>
        <v>2156.0975609756097</v>
      </c>
      <c r="T49" s="2">
        <f>'Pull out test IPE 160'!T45</f>
        <v>10.4</v>
      </c>
      <c r="U49" s="2">
        <f>'Pull out test IPE 160'!U45*'Interpolación para W8X10'!$E$5</f>
        <v>2147.8048780487807</v>
      </c>
      <c r="AK49" s="2" t="s">
        <v>21</v>
      </c>
      <c r="AL49" s="2">
        <v>0</v>
      </c>
      <c r="AM49" s="2">
        <v>-0.38</v>
      </c>
      <c r="AN49" s="2">
        <f t="shared" si="0"/>
        <v>-38.748600000000003</v>
      </c>
      <c r="AO49" s="2">
        <v>2736.59</v>
      </c>
      <c r="AP49" s="2">
        <f t="shared" si="1"/>
        <v>70.624229004402736</v>
      </c>
      <c r="AQ49" s="2">
        <v>2.56</v>
      </c>
      <c r="AR49" s="2">
        <f t="shared" si="2"/>
        <v>261.04320000000001</v>
      </c>
      <c r="AS49" s="2">
        <v>-2413</v>
      </c>
      <c r="AT49" s="1" t="str">
        <f t="shared" si="3"/>
        <v>Compresión no aplica</v>
      </c>
      <c r="AU49" s="2">
        <v>881.1</v>
      </c>
      <c r="AV49" s="1">
        <f t="shared" si="4"/>
        <v>3.3753033980582523</v>
      </c>
      <c r="AW49" s="2">
        <v>0.56000000000000005</v>
      </c>
      <c r="AX49" s="3">
        <f t="shared" si="5"/>
        <v>-38.748600000000003</v>
      </c>
      <c r="AY49" s="2">
        <v>-0.01</v>
      </c>
      <c r="AZ49" s="2">
        <v>0</v>
      </c>
      <c r="BA49" s="2" t="s">
        <v>31</v>
      </c>
    </row>
    <row r="50" spans="3:53" x14ac:dyDescent="0.3">
      <c r="C50" s="1">
        <f>'Pull out test IPE 160'!C46</f>
        <v>24.6</v>
      </c>
      <c r="D50" s="1">
        <f>'Pull out test IPE 160'!D46*'Interpolación para W8X10'!$E$5</f>
        <v>2570.7317073170734</v>
      </c>
      <c r="K50" s="8">
        <f>'Pull out test IPE 160'!K46/'Interpolación para W8X10'!$E$5</f>
        <v>4.6209411764705886</v>
      </c>
      <c r="L50" s="1">
        <f>'Pull out test IPE 160'!L46*'Interpolación para W8X10'!$E$5</f>
        <v>2628.7804878048782</v>
      </c>
      <c r="T50" s="2">
        <f>'Pull out test IPE 160'!T46</f>
        <v>14.12</v>
      </c>
      <c r="U50" s="2">
        <f>'Pull out test IPE 160'!U46*'Interpolación para W8X10'!$E$5</f>
        <v>2653.6585365853662</v>
      </c>
      <c r="AK50" s="2" t="s">
        <v>21</v>
      </c>
      <c r="AL50" s="2">
        <v>0</v>
      </c>
      <c r="AM50" s="2">
        <v>-0.38</v>
      </c>
      <c r="AN50" s="2">
        <f t="shared" si="0"/>
        <v>-38.748600000000003</v>
      </c>
      <c r="AO50" s="2">
        <v>2736.59</v>
      </c>
      <c r="AP50" s="2">
        <f t="shared" si="1"/>
        <v>70.624229004402736</v>
      </c>
      <c r="AQ50" s="2">
        <v>1.64</v>
      </c>
      <c r="AR50" s="2">
        <f t="shared" si="2"/>
        <v>167.23079999999999</v>
      </c>
      <c r="AS50" s="2">
        <v>-2413</v>
      </c>
      <c r="AT50" s="1" t="str">
        <f t="shared" si="3"/>
        <v>Compresión no aplica</v>
      </c>
      <c r="AU50" s="2">
        <v>881.1</v>
      </c>
      <c r="AV50" s="1">
        <f t="shared" si="4"/>
        <v>5.268766279895809</v>
      </c>
      <c r="AW50" s="2">
        <v>0.56000000000000005</v>
      </c>
      <c r="AX50" s="3">
        <f t="shared" si="5"/>
        <v>-38.748600000000003</v>
      </c>
      <c r="AY50" s="2">
        <v>0</v>
      </c>
      <c r="AZ50" s="2">
        <v>0</v>
      </c>
      <c r="BA50" s="2" t="s">
        <v>32</v>
      </c>
    </row>
    <row r="51" spans="3:53" x14ac:dyDescent="0.3">
      <c r="C51" s="1">
        <f>'Pull out test IPE 160'!C47</f>
        <v>25.57</v>
      </c>
      <c r="D51" s="1">
        <f>'Pull out test IPE 160'!D47*'Interpolación para W8X10'!$E$5</f>
        <v>2736.5853658536585</v>
      </c>
      <c r="K51" s="8">
        <f>'Pull out test IPE 160'!K47/'Interpolación para W8X10'!$E$5</f>
        <v>5.5663529411764703</v>
      </c>
      <c r="L51" s="1">
        <f>'Pull out test IPE 160'!L47*'Interpolación para W8X10'!$E$5</f>
        <v>3030.9756097560976</v>
      </c>
      <c r="T51" s="2">
        <f>'Pull out test IPE 160'!T47</f>
        <v>16.899999999999999</v>
      </c>
      <c r="U51" s="2">
        <f>'Pull out test IPE 160'!U47*'Interpolación para W8X10'!$E$5</f>
        <v>3037.1951219512198</v>
      </c>
      <c r="AK51" s="2" t="s">
        <v>21</v>
      </c>
      <c r="AL51" s="11">
        <v>0</v>
      </c>
      <c r="AM51" s="11">
        <v>-0.64</v>
      </c>
      <c r="AN51" s="2">
        <f t="shared" si="0"/>
        <v>-65.260800000000003</v>
      </c>
      <c r="AO51" s="2">
        <v>2736.59</v>
      </c>
      <c r="AP51" s="2">
        <f t="shared" si="1"/>
        <v>41.933135971364123</v>
      </c>
      <c r="AQ51" s="2">
        <v>4.7</v>
      </c>
      <c r="AR51" s="2">
        <f t="shared" si="2"/>
        <v>479.25900000000001</v>
      </c>
      <c r="AS51" s="2">
        <v>-2413</v>
      </c>
      <c r="AT51" s="1" t="str">
        <f t="shared" si="3"/>
        <v>Compresión no aplica</v>
      </c>
      <c r="AU51" s="2">
        <v>881.1</v>
      </c>
      <c r="AV51" s="1">
        <f t="shared" si="4"/>
        <v>1.8384631274530057</v>
      </c>
      <c r="AW51" s="2">
        <v>0.96</v>
      </c>
      <c r="AX51" s="3">
        <f t="shared" si="5"/>
        <v>-65.260800000000003</v>
      </c>
      <c r="AY51" s="2">
        <v>-0.02</v>
      </c>
      <c r="AZ51" s="2">
        <v>0</v>
      </c>
      <c r="BA51" s="2" t="s">
        <v>33</v>
      </c>
    </row>
    <row r="52" spans="3:53" x14ac:dyDescent="0.3">
      <c r="C52" s="1" t="s">
        <v>7</v>
      </c>
      <c r="D52" s="1">
        <v>2.5</v>
      </c>
      <c r="K52" s="8">
        <f>'Pull out test IPE 160'!K48/'Interpolación para W8X10'!$E$5</f>
        <v>6.7047058823529415</v>
      </c>
      <c r="L52" s="1">
        <f>'Pull out test IPE 160'!L48*'Interpolación para W8X10'!$E$5</f>
        <v>3429.0243902439024</v>
      </c>
      <c r="T52" s="2">
        <f>'Pull out test IPE 160'!T48</f>
        <v>20.5</v>
      </c>
      <c r="U52" s="2">
        <f>'Pull out test IPE 160'!U48*'Interpolación para W8X10'!$E$5</f>
        <v>3387.560975609756</v>
      </c>
      <c r="AK52" s="2" t="s">
        <v>21</v>
      </c>
      <c r="AL52" s="2">
        <v>0</v>
      </c>
      <c r="AM52" s="2">
        <v>0.56999999999999995</v>
      </c>
      <c r="AN52" s="2">
        <f t="shared" si="0"/>
        <v>58.122899999999994</v>
      </c>
      <c r="AO52" s="2">
        <v>2736.59</v>
      </c>
      <c r="AP52" s="2">
        <f t="shared" si="1"/>
        <v>47.0828193362685</v>
      </c>
      <c r="AQ52" s="2">
        <v>0.21</v>
      </c>
      <c r="AR52" s="2">
        <f t="shared" si="2"/>
        <v>21.413699999999999</v>
      </c>
      <c r="AS52" s="2">
        <v>-2413</v>
      </c>
      <c r="AT52" s="1" t="str">
        <f t="shared" si="3"/>
        <v>Compresión no aplica</v>
      </c>
      <c r="AU52" s="2">
        <v>881.1</v>
      </c>
      <c r="AV52" s="1">
        <f t="shared" si="4"/>
        <v>41.146555709662508</v>
      </c>
      <c r="AW52" s="2">
        <v>-0.85</v>
      </c>
      <c r="AX52" s="3">
        <f t="shared" si="5"/>
        <v>58.122899999999994</v>
      </c>
      <c r="AY52" s="2">
        <v>0</v>
      </c>
      <c r="AZ52" s="2">
        <v>0</v>
      </c>
      <c r="BA52" s="2" t="s">
        <v>34</v>
      </c>
    </row>
    <row r="53" spans="3:53" x14ac:dyDescent="0.3">
      <c r="K53" s="8">
        <f>'Pull out test IPE 160'!K49/'Interpolación para W8X10'!$E$5</f>
        <v>8.0552941176470583</v>
      </c>
      <c r="L53" s="1">
        <f>'Pull out test IPE 160'!L49*'Interpolación para W8X10'!$E$5</f>
        <v>3874.7560975609758</v>
      </c>
      <c r="T53" s="2">
        <f>'Pull out test IPE 160'!T49</f>
        <v>24.6</v>
      </c>
      <c r="U53" s="2">
        <f>'Pull out test IPE 160'!U49*'Interpolación para W8X10'!$E$5</f>
        <v>3814.6341463414637</v>
      </c>
      <c r="AK53" s="2" t="s">
        <v>21</v>
      </c>
      <c r="AL53" s="2">
        <v>0</v>
      </c>
      <c r="AM53" s="2">
        <v>-2.87</v>
      </c>
      <c r="AN53" s="2">
        <f t="shared" si="0"/>
        <v>-292.65390000000002</v>
      </c>
      <c r="AO53" s="2">
        <v>2736.59</v>
      </c>
      <c r="AP53" s="2">
        <f t="shared" si="1"/>
        <v>9.3509432131264951</v>
      </c>
      <c r="AQ53" s="2">
        <v>3.96</v>
      </c>
      <c r="AR53" s="2">
        <f t="shared" si="2"/>
        <v>403.80119999999999</v>
      </c>
      <c r="AS53" s="2">
        <v>-2413</v>
      </c>
      <c r="AT53" s="1" t="str">
        <f t="shared" si="3"/>
        <v>Compresión no aplica</v>
      </c>
      <c r="AU53" s="2">
        <v>881.1</v>
      </c>
      <c r="AV53" s="1">
        <f t="shared" si="4"/>
        <v>2.1820143179366482</v>
      </c>
      <c r="AW53" s="2">
        <v>4.29</v>
      </c>
      <c r="AX53" s="3">
        <f t="shared" si="5"/>
        <v>-292.65390000000002</v>
      </c>
      <c r="AY53" s="2">
        <v>-0.01</v>
      </c>
      <c r="AZ53" s="2">
        <v>0</v>
      </c>
      <c r="BA53" s="2" t="s">
        <v>35</v>
      </c>
    </row>
    <row r="54" spans="3:53" x14ac:dyDescent="0.3">
      <c r="K54" s="8">
        <f>'Pull out test IPE 160'!K50/'Interpolación para W8X10'!$E$5</f>
        <v>9.9847058823529409</v>
      </c>
      <c r="L54" s="1">
        <f>'Pull out test IPE 160'!L50*'Interpolación para W8X10'!$E$5</f>
        <v>4295.6097560975613</v>
      </c>
      <c r="T54" s="2">
        <f>'Pull out test IPE 160'!T50</f>
        <v>25.3</v>
      </c>
      <c r="U54" s="2">
        <f>'Pull out test IPE 160'!U50*'Interpolación para W8X10'!$E$5</f>
        <v>4013.6585365853662</v>
      </c>
      <c r="AK54" s="2" t="s">
        <v>21</v>
      </c>
      <c r="AL54" s="2">
        <v>0</v>
      </c>
      <c r="AM54" s="2">
        <v>2.4700000000000002</v>
      </c>
      <c r="AN54" s="2">
        <f t="shared" si="0"/>
        <v>251.86590000000001</v>
      </c>
      <c r="AO54" s="2">
        <v>2736.59</v>
      </c>
      <c r="AP54" s="2">
        <f t="shared" si="1"/>
        <v>10.865266000677344</v>
      </c>
      <c r="AQ54" s="2">
        <v>0.88</v>
      </c>
      <c r="AR54" s="2">
        <f t="shared" si="2"/>
        <v>89.733599999999996</v>
      </c>
      <c r="AS54" s="2">
        <v>-2413</v>
      </c>
      <c r="AT54" s="1" t="str">
        <f t="shared" si="3"/>
        <v>Compresión no aplica</v>
      </c>
      <c r="AU54" s="2">
        <v>881.1</v>
      </c>
      <c r="AV54" s="1">
        <f t="shared" si="4"/>
        <v>9.8190644307149171</v>
      </c>
      <c r="AW54" s="2">
        <v>-3.7</v>
      </c>
      <c r="AX54" s="3">
        <f t="shared" si="5"/>
        <v>251.86590000000001</v>
      </c>
      <c r="AY54" s="2">
        <v>0</v>
      </c>
      <c r="AZ54" s="2">
        <v>0</v>
      </c>
      <c r="BA54" s="2" t="s">
        <v>36</v>
      </c>
    </row>
    <row r="55" spans="3:53" x14ac:dyDescent="0.3">
      <c r="K55" s="1" t="s">
        <v>7</v>
      </c>
      <c r="L55" s="1">
        <v>2.5</v>
      </c>
      <c r="T55" s="2" t="s">
        <v>7</v>
      </c>
      <c r="U55" s="2">
        <v>2.5</v>
      </c>
      <c r="AK55" s="2" t="s">
        <v>21</v>
      </c>
      <c r="AL55" s="2">
        <v>0</v>
      </c>
      <c r="AM55" s="2">
        <v>-0.82</v>
      </c>
      <c r="AN55" s="2">
        <f t="shared" si="0"/>
        <v>-83.615399999999994</v>
      </c>
      <c r="AO55" s="2">
        <v>2736.59</v>
      </c>
      <c r="AP55" s="2">
        <f t="shared" si="1"/>
        <v>32.728301245942738</v>
      </c>
      <c r="AQ55" s="2">
        <v>5.65</v>
      </c>
      <c r="AR55" s="2">
        <f t="shared" si="2"/>
        <v>576.13049999999998</v>
      </c>
      <c r="AS55" s="2">
        <v>-2413</v>
      </c>
      <c r="AT55" s="1" t="str">
        <f t="shared" si="3"/>
        <v>Compresión no aplica</v>
      </c>
      <c r="AU55" s="2">
        <v>881.1</v>
      </c>
      <c r="AV55" s="1">
        <f t="shared" si="4"/>
        <v>1.5293410086777215</v>
      </c>
      <c r="AW55" s="2">
        <v>1.23</v>
      </c>
      <c r="AX55" s="3">
        <f t="shared" si="5"/>
        <v>-83.615399999999994</v>
      </c>
      <c r="AY55" s="2">
        <v>0.01</v>
      </c>
      <c r="AZ55" s="2">
        <v>0</v>
      </c>
      <c r="BA55" s="2" t="s">
        <v>22</v>
      </c>
    </row>
    <row r="56" spans="3:53" x14ac:dyDescent="0.3">
      <c r="AK56" s="2" t="s">
        <v>21</v>
      </c>
      <c r="AL56" s="2">
        <v>0</v>
      </c>
      <c r="AM56" s="2">
        <v>0.71</v>
      </c>
      <c r="AN56" s="2">
        <f t="shared" si="0"/>
        <v>72.398699999999991</v>
      </c>
      <c r="AO56" s="2">
        <v>2736.59</v>
      </c>
      <c r="AP56" s="2">
        <f t="shared" si="1"/>
        <v>37.798883129116966</v>
      </c>
      <c r="AQ56" s="2">
        <v>-0.31</v>
      </c>
      <c r="AR56" s="2">
        <f t="shared" si="2"/>
        <v>-31.610699999999998</v>
      </c>
      <c r="AS56" s="2">
        <v>-2413</v>
      </c>
      <c r="AT56" s="1">
        <f t="shared" si="3"/>
        <v>76.33491191273842</v>
      </c>
      <c r="AU56" s="2">
        <v>881.1</v>
      </c>
      <c r="AV56" s="1" t="str">
        <f t="shared" si="4"/>
        <v>Tensión no aplica</v>
      </c>
      <c r="AW56" s="2">
        <v>-1.07</v>
      </c>
      <c r="AX56" s="3">
        <f t="shared" si="5"/>
        <v>72.398699999999991</v>
      </c>
      <c r="AY56" s="2">
        <v>-0.02</v>
      </c>
      <c r="AZ56" s="2">
        <v>0</v>
      </c>
      <c r="BA56" s="2" t="s">
        <v>23</v>
      </c>
    </row>
    <row r="57" spans="3:53" x14ac:dyDescent="0.3">
      <c r="AK57" s="2" t="s">
        <v>21</v>
      </c>
      <c r="AL57" s="2">
        <v>0</v>
      </c>
      <c r="AM57" s="2">
        <v>-3.8</v>
      </c>
      <c r="AN57" s="2">
        <f t="shared" si="0"/>
        <v>-387.48599999999999</v>
      </c>
      <c r="AO57" s="2">
        <v>2736.59</v>
      </c>
      <c r="AP57" s="2">
        <f t="shared" si="1"/>
        <v>7.0624229004402741</v>
      </c>
      <c r="AQ57" s="2">
        <v>4.66</v>
      </c>
      <c r="AR57" s="2">
        <f t="shared" si="2"/>
        <v>475.18020000000001</v>
      </c>
      <c r="AS57" s="2">
        <v>-2413</v>
      </c>
      <c r="AT57" s="1" t="str">
        <f t="shared" si="3"/>
        <v>Compresión no aplica</v>
      </c>
      <c r="AU57" s="2">
        <v>881.1</v>
      </c>
      <c r="AV57" s="1">
        <f t="shared" si="4"/>
        <v>1.8542439268302846</v>
      </c>
      <c r="AW57" s="2">
        <v>5.68</v>
      </c>
      <c r="AX57" s="3">
        <f t="shared" si="5"/>
        <v>-387.48599999999999</v>
      </c>
      <c r="AY57" s="2">
        <v>0</v>
      </c>
      <c r="AZ57" s="2">
        <v>0</v>
      </c>
      <c r="BA57" s="2" t="s">
        <v>24</v>
      </c>
    </row>
    <row r="58" spans="3:53" x14ac:dyDescent="0.3">
      <c r="AK58" s="2" t="s">
        <v>21</v>
      </c>
      <c r="AL58" s="11">
        <v>0</v>
      </c>
      <c r="AM58" s="11">
        <v>3.25</v>
      </c>
      <c r="AN58" s="2">
        <f t="shared" si="0"/>
        <v>331.40249999999997</v>
      </c>
      <c r="AO58" s="2">
        <v>2736.59</v>
      </c>
      <c r="AP58" s="2">
        <f t="shared" si="1"/>
        <v>8.2576021605147822</v>
      </c>
      <c r="AQ58" s="2">
        <v>0.57999999999999996</v>
      </c>
      <c r="AR58" s="2">
        <f t="shared" si="2"/>
        <v>59.142599999999995</v>
      </c>
      <c r="AS58" s="2">
        <v>-2413</v>
      </c>
      <c r="AT58" s="1" t="str">
        <f t="shared" si="3"/>
        <v>Compresión no aplica</v>
      </c>
      <c r="AU58" s="2">
        <v>881.1</v>
      </c>
      <c r="AV58" s="1">
        <f t="shared" si="4"/>
        <v>14.897890860395046</v>
      </c>
      <c r="AW58" s="2">
        <v>-4.8600000000000003</v>
      </c>
      <c r="AX58" s="3">
        <f t="shared" si="5"/>
        <v>331.40249999999997</v>
      </c>
      <c r="AY58" s="2">
        <v>-0.02</v>
      </c>
      <c r="AZ58" s="2">
        <v>0</v>
      </c>
      <c r="BA58" s="2" t="s">
        <v>25</v>
      </c>
    </row>
    <row r="59" spans="3:53" x14ac:dyDescent="0.3">
      <c r="AK59" s="2" t="s">
        <v>21</v>
      </c>
      <c r="AL59" s="2">
        <v>0</v>
      </c>
      <c r="AM59" s="2">
        <v>-0.82</v>
      </c>
      <c r="AN59" s="2">
        <f t="shared" si="0"/>
        <v>-83.615399999999994</v>
      </c>
      <c r="AO59" s="2">
        <v>2736.59</v>
      </c>
      <c r="AP59" s="2">
        <f t="shared" si="1"/>
        <v>32.728301245942738</v>
      </c>
      <c r="AQ59" s="2">
        <v>4.66</v>
      </c>
      <c r="AR59" s="2">
        <f t="shared" si="2"/>
        <v>475.18020000000001</v>
      </c>
      <c r="AS59" s="2">
        <v>-2413</v>
      </c>
      <c r="AT59" s="1" t="str">
        <f t="shared" si="3"/>
        <v>Compresión no aplica</v>
      </c>
      <c r="AU59" s="2">
        <v>881.1</v>
      </c>
      <c r="AV59" s="1">
        <f t="shared" si="4"/>
        <v>1.8542439268302846</v>
      </c>
      <c r="AW59" s="2">
        <v>1.23</v>
      </c>
      <c r="AX59" s="3">
        <f t="shared" si="5"/>
        <v>-83.615399999999994</v>
      </c>
      <c r="AY59" s="2">
        <v>0.01</v>
      </c>
      <c r="AZ59" s="2">
        <v>0</v>
      </c>
      <c r="BA59" s="2" t="s">
        <v>26</v>
      </c>
    </row>
    <row r="60" spans="3:53" x14ac:dyDescent="0.3">
      <c r="AK60" s="2" t="s">
        <v>21</v>
      </c>
      <c r="AL60" s="2">
        <v>0</v>
      </c>
      <c r="AM60" s="2">
        <v>0.71</v>
      </c>
      <c r="AN60" s="2">
        <f t="shared" si="0"/>
        <v>72.398699999999991</v>
      </c>
      <c r="AO60" s="2">
        <v>2736.59</v>
      </c>
      <c r="AP60" s="2">
        <f t="shared" si="1"/>
        <v>37.798883129116966</v>
      </c>
      <c r="AQ60" s="2">
        <v>-1.3</v>
      </c>
      <c r="AR60" s="2">
        <f t="shared" si="2"/>
        <v>-132.56100000000001</v>
      </c>
      <c r="AS60" s="2">
        <v>-2413</v>
      </c>
      <c r="AT60" s="1">
        <f t="shared" si="3"/>
        <v>18.202940533037619</v>
      </c>
      <c r="AU60" s="2">
        <v>881.1</v>
      </c>
      <c r="AV60" s="1" t="str">
        <f t="shared" si="4"/>
        <v>Tensión no aplica</v>
      </c>
      <c r="AW60" s="2">
        <v>-1.07</v>
      </c>
      <c r="AX60" s="3">
        <f t="shared" si="5"/>
        <v>72.398699999999991</v>
      </c>
      <c r="AY60" s="2">
        <v>-0.02</v>
      </c>
      <c r="AZ60" s="2">
        <v>0</v>
      </c>
      <c r="BA60" s="2" t="s">
        <v>27</v>
      </c>
    </row>
    <row r="61" spans="3:53" x14ac:dyDescent="0.3">
      <c r="AK61" s="2" t="s">
        <v>21</v>
      </c>
      <c r="AL61" s="2">
        <v>0</v>
      </c>
      <c r="AM61" s="2">
        <v>-3.8</v>
      </c>
      <c r="AN61" s="2">
        <f t="shared" si="0"/>
        <v>-387.48599999999999</v>
      </c>
      <c r="AO61" s="2">
        <v>2736.59</v>
      </c>
      <c r="AP61" s="2">
        <f t="shared" si="1"/>
        <v>7.0624229004402741</v>
      </c>
      <c r="AQ61" s="2">
        <v>3.66</v>
      </c>
      <c r="AR61" s="2">
        <f t="shared" si="2"/>
        <v>373.21019999999999</v>
      </c>
      <c r="AS61" s="2">
        <v>-2413</v>
      </c>
      <c r="AT61" s="1" t="str">
        <f t="shared" si="3"/>
        <v>Compresión no aplica</v>
      </c>
      <c r="AU61" s="2">
        <v>881.1</v>
      </c>
      <c r="AV61" s="1">
        <f t="shared" si="4"/>
        <v>2.3608679505544061</v>
      </c>
      <c r="AW61" s="2">
        <v>5.68</v>
      </c>
      <c r="AX61" s="3">
        <f t="shared" si="5"/>
        <v>-387.48599999999999</v>
      </c>
      <c r="AY61" s="2">
        <v>0.01</v>
      </c>
      <c r="AZ61" s="2">
        <v>0</v>
      </c>
      <c r="BA61" s="2" t="s">
        <v>28</v>
      </c>
    </row>
    <row r="62" spans="3:53" x14ac:dyDescent="0.3">
      <c r="AK62" s="2" t="s">
        <v>21</v>
      </c>
      <c r="AL62" s="2">
        <v>0</v>
      </c>
      <c r="AM62" s="2">
        <v>3.25</v>
      </c>
      <c r="AN62" s="2">
        <f t="shared" si="0"/>
        <v>331.40249999999997</v>
      </c>
      <c r="AO62" s="2">
        <v>2736.59</v>
      </c>
      <c r="AP62" s="2">
        <f t="shared" si="1"/>
        <v>8.2576021605147822</v>
      </c>
      <c r="AQ62" s="2">
        <v>-0.41</v>
      </c>
      <c r="AR62" s="2">
        <f t="shared" si="2"/>
        <v>-41.807699999999997</v>
      </c>
      <c r="AS62" s="2">
        <v>-2413</v>
      </c>
      <c r="AT62" s="1">
        <f t="shared" si="3"/>
        <v>57.716640714509531</v>
      </c>
      <c r="AU62" s="2">
        <v>881.1</v>
      </c>
      <c r="AV62" s="1" t="str">
        <f t="shared" si="4"/>
        <v>Tensión no aplica</v>
      </c>
      <c r="AW62" s="2">
        <v>-4.8600000000000003</v>
      </c>
      <c r="AX62" s="3">
        <f t="shared" si="5"/>
        <v>331.40249999999997</v>
      </c>
      <c r="AY62" s="2">
        <v>-0.02</v>
      </c>
      <c r="AZ62" s="2">
        <v>0</v>
      </c>
      <c r="BA62" s="2" t="s">
        <v>29</v>
      </c>
    </row>
    <row r="63" spans="3:53" x14ac:dyDescent="0.3">
      <c r="AK63" s="2" t="s">
        <v>21</v>
      </c>
      <c r="AL63" s="2">
        <v>0</v>
      </c>
      <c r="AM63" s="2">
        <v>0</v>
      </c>
      <c r="AN63" s="2">
        <v>1.0000000000000001E-5</v>
      </c>
      <c r="AO63" s="2">
        <v>2736.59</v>
      </c>
      <c r="AP63" s="2">
        <f t="shared" si="1"/>
        <v>273659000</v>
      </c>
      <c r="AQ63" s="2">
        <v>2.48</v>
      </c>
      <c r="AR63" s="2">
        <f t="shared" si="2"/>
        <v>252.88559999999998</v>
      </c>
      <c r="AS63" s="2">
        <v>-2413</v>
      </c>
      <c r="AT63" s="1" t="str">
        <f t="shared" si="3"/>
        <v>Compresión no aplica</v>
      </c>
      <c r="AU63" s="2">
        <v>881.1</v>
      </c>
      <c r="AV63" s="1">
        <f t="shared" si="4"/>
        <v>3.4841841528343256</v>
      </c>
      <c r="AW63" s="2">
        <v>0</v>
      </c>
      <c r="AX63" s="3">
        <f t="shared" si="5"/>
        <v>0</v>
      </c>
      <c r="AY63" s="2">
        <v>-0.01</v>
      </c>
      <c r="AZ63" s="2">
        <v>0</v>
      </c>
      <c r="BA63" s="2" t="s">
        <v>30</v>
      </c>
    </row>
    <row r="64" spans="3:53" x14ac:dyDescent="0.3">
      <c r="AK64" s="2" t="s">
        <v>21</v>
      </c>
      <c r="AL64" s="2">
        <v>0</v>
      </c>
      <c r="AM64" s="2">
        <v>-0.38</v>
      </c>
      <c r="AN64" s="2">
        <f t="shared" si="0"/>
        <v>-38.748600000000003</v>
      </c>
      <c r="AO64" s="2">
        <v>2736.59</v>
      </c>
      <c r="AP64" s="2">
        <f t="shared" si="1"/>
        <v>70.624229004402736</v>
      </c>
      <c r="AQ64" s="2">
        <v>2.73</v>
      </c>
      <c r="AR64" s="2">
        <f t="shared" si="2"/>
        <v>278.37810000000002</v>
      </c>
      <c r="AS64" s="2">
        <v>-2413</v>
      </c>
      <c r="AT64" s="1" t="str">
        <f t="shared" si="3"/>
        <v>Compresión no aplica</v>
      </c>
      <c r="AU64" s="2">
        <v>881.1</v>
      </c>
      <c r="AV64" s="1">
        <f t="shared" si="4"/>
        <v>3.1651196699740387</v>
      </c>
      <c r="AW64" s="2">
        <v>0.56000000000000005</v>
      </c>
      <c r="AX64" s="3">
        <f t="shared" si="5"/>
        <v>-38.748600000000003</v>
      </c>
      <c r="AY64" s="2">
        <v>-0.01</v>
      </c>
      <c r="AZ64" s="2">
        <v>0</v>
      </c>
      <c r="BA64" s="2" t="s">
        <v>31</v>
      </c>
    </row>
    <row r="65" spans="37:53" x14ac:dyDescent="0.3">
      <c r="AK65" s="2" t="s">
        <v>21</v>
      </c>
      <c r="AL65" s="11">
        <v>0</v>
      </c>
      <c r="AM65" s="11">
        <v>-0.38</v>
      </c>
      <c r="AN65" s="2">
        <f t="shared" si="0"/>
        <v>-38.748600000000003</v>
      </c>
      <c r="AO65" s="2">
        <v>2736.59</v>
      </c>
      <c r="AP65" s="2">
        <f t="shared" si="1"/>
        <v>70.624229004402736</v>
      </c>
      <c r="AQ65" s="2">
        <v>1.74</v>
      </c>
      <c r="AR65" s="2">
        <f t="shared" si="2"/>
        <v>177.42779999999999</v>
      </c>
      <c r="AS65" s="2">
        <v>-2413</v>
      </c>
      <c r="AT65" s="1" t="str">
        <f t="shared" si="3"/>
        <v>Compresión no aplica</v>
      </c>
      <c r="AU65" s="2">
        <v>881.1</v>
      </c>
      <c r="AV65" s="1">
        <f t="shared" si="4"/>
        <v>4.9659636201316824</v>
      </c>
      <c r="AW65" s="2">
        <v>0.56000000000000005</v>
      </c>
      <c r="AX65" s="3">
        <f t="shared" si="5"/>
        <v>-38.748600000000003</v>
      </c>
      <c r="AY65" s="2">
        <v>0</v>
      </c>
      <c r="AZ65" s="2">
        <v>0</v>
      </c>
      <c r="BA65" s="2" t="s">
        <v>32</v>
      </c>
    </row>
    <row r="66" spans="37:53" x14ac:dyDescent="0.3">
      <c r="AK66" s="2" t="s">
        <v>21</v>
      </c>
      <c r="AL66" s="2">
        <v>0</v>
      </c>
      <c r="AM66" s="2">
        <v>-0.62</v>
      </c>
      <c r="AN66" s="2">
        <f t="shared" si="0"/>
        <v>-63.221399999999996</v>
      </c>
      <c r="AO66" s="2">
        <v>2736.59</v>
      </c>
      <c r="AP66" s="2">
        <f t="shared" si="1"/>
        <v>43.28581777689201</v>
      </c>
      <c r="AQ66" s="2">
        <v>4.8600000000000003</v>
      </c>
      <c r="AR66" s="2">
        <f t="shared" si="2"/>
        <v>495.57420000000002</v>
      </c>
      <c r="AS66" s="2">
        <v>-2413</v>
      </c>
      <c r="AT66" s="1" t="str">
        <f t="shared" si="3"/>
        <v>Compresión no aplica</v>
      </c>
      <c r="AU66" s="2">
        <v>881.1</v>
      </c>
      <c r="AV66" s="1">
        <f t="shared" si="4"/>
        <v>1.7779375923928242</v>
      </c>
      <c r="AW66" s="2">
        <v>0.92</v>
      </c>
      <c r="AX66" s="3">
        <f t="shared" si="5"/>
        <v>-63.221399999999996</v>
      </c>
      <c r="AY66" s="2">
        <v>0.01</v>
      </c>
      <c r="AZ66" s="2">
        <v>0</v>
      </c>
      <c r="BA66" s="2" t="s">
        <v>33</v>
      </c>
    </row>
    <row r="67" spans="37:53" x14ac:dyDescent="0.3">
      <c r="AK67" s="2" t="s">
        <v>21</v>
      </c>
      <c r="AL67" s="2">
        <v>0</v>
      </c>
      <c r="AM67" s="2">
        <v>0.53</v>
      </c>
      <c r="AN67" s="2">
        <f t="shared" si="0"/>
        <v>54.0441</v>
      </c>
      <c r="AO67" s="2">
        <v>2736.59</v>
      </c>
      <c r="AP67" s="2">
        <f t="shared" si="1"/>
        <v>50.636239663534042</v>
      </c>
      <c r="AQ67" s="2">
        <v>0.39</v>
      </c>
      <c r="AR67" s="2">
        <f t="shared" si="2"/>
        <v>39.768300000000004</v>
      </c>
      <c r="AS67" s="2">
        <v>-2413</v>
      </c>
      <c r="AT67" s="1" t="str">
        <f t="shared" si="3"/>
        <v>Compresión no aplica</v>
      </c>
      <c r="AU67" s="2">
        <v>881.1</v>
      </c>
      <c r="AV67" s="1">
        <f t="shared" si="4"/>
        <v>22.15583768981827</v>
      </c>
      <c r="AW67" s="2">
        <v>-0.8</v>
      </c>
      <c r="AX67" s="3">
        <f t="shared" si="5"/>
        <v>54.0441</v>
      </c>
      <c r="AY67" s="2">
        <v>-0.02</v>
      </c>
      <c r="AZ67" s="2">
        <v>0</v>
      </c>
      <c r="BA67" s="2" t="s">
        <v>34</v>
      </c>
    </row>
    <row r="68" spans="37:53" x14ac:dyDescent="0.3">
      <c r="AK68" s="2" t="s">
        <v>21</v>
      </c>
      <c r="AL68" s="2">
        <v>0</v>
      </c>
      <c r="AM68" s="2">
        <v>-2.85</v>
      </c>
      <c r="AN68" s="2">
        <f t="shared" si="0"/>
        <v>-290.61450000000002</v>
      </c>
      <c r="AO68" s="2">
        <v>2736.59</v>
      </c>
      <c r="AP68" s="2">
        <f t="shared" si="1"/>
        <v>9.4165638672536982</v>
      </c>
      <c r="AQ68" s="2">
        <v>4.1100000000000003</v>
      </c>
      <c r="AR68" s="2">
        <f t="shared" si="2"/>
        <v>419.09670000000006</v>
      </c>
      <c r="AS68" s="2">
        <v>-2413</v>
      </c>
      <c r="AT68" s="1" t="str">
        <f t="shared" si="3"/>
        <v>Compresión no aplica</v>
      </c>
      <c r="AU68" s="2">
        <v>881.1</v>
      </c>
      <c r="AV68" s="1">
        <f t="shared" si="4"/>
        <v>2.1023787588878649</v>
      </c>
      <c r="AW68" s="2">
        <v>4.26</v>
      </c>
      <c r="AX68" s="3">
        <f t="shared" si="5"/>
        <v>-290.61450000000002</v>
      </c>
      <c r="AY68" s="2">
        <v>0</v>
      </c>
      <c r="AZ68" s="2">
        <v>0</v>
      </c>
      <c r="BA68" s="2" t="s">
        <v>35</v>
      </c>
    </row>
    <row r="69" spans="37:53" x14ac:dyDescent="0.3">
      <c r="AK69" s="2" t="s">
        <v>21</v>
      </c>
      <c r="AL69" s="2">
        <v>0</v>
      </c>
      <c r="AM69" s="2">
        <v>2.44</v>
      </c>
      <c r="AN69" s="2">
        <f t="shared" si="0"/>
        <v>248.80679999999998</v>
      </c>
      <c r="AO69" s="2">
        <v>2736.59</v>
      </c>
      <c r="AP69" s="2">
        <f t="shared" si="1"/>
        <v>10.998855336751248</v>
      </c>
      <c r="AQ69" s="2">
        <v>1.06</v>
      </c>
      <c r="AR69" s="2">
        <f t="shared" si="2"/>
        <v>108.0882</v>
      </c>
      <c r="AS69" s="2">
        <v>-2413</v>
      </c>
      <c r="AT69" s="1" t="str">
        <f t="shared" si="3"/>
        <v>Compresión no aplica</v>
      </c>
      <c r="AU69" s="2">
        <v>881.1</v>
      </c>
      <c r="AV69" s="1">
        <f t="shared" si="4"/>
        <v>8.1516761311595527</v>
      </c>
      <c r="AW69" s="2">
        <v>-3.65</v>
      </c>
      <c r="AX69" s="3">
        <f t="shared" si="5"/>
        <v>248.80679999999998</v>
      </c>
      <c r="AY69" s="2">
        <v>-0.02</v>
      </c>
      <c r="AZ69" s="2">
        <v>0</v>
      </c>
      <c r="BA69" s="2" t="s">
        <v>36</v>
      </c>
    </row>
    <row r="70" spans="37:53" x14ac:dyDescent="0.3">
      <c r="AK70" s="2" t="s">
        <v>21</v>
      </c>
      <c r="AL70" s="2">
        <v>0</v>
      </c>
      <c r="AM70" s="2">
        <v>-0.89</v>
      </c>
      <c r="AN70" s="2">
        <f t="shared" si="0"/>
        <v>-90.753299999999996</v>
      </c>
      <c r="AO70" s="2">
        <v>2736.59</v>
      </c>
      <c r="AP70" s="2">
        <f t="shared" si="1"/>
        <v>30.15416519289106</v>
      </c>
      <c r="AQ70" s="2">
        <v>5.62</v>
      </c>
      <c r="AR70" s="2">
        <f t="shared" si="2"/>
        <v>573.07140000000004</v>
      </c>
      <c r="AS70" s="2">
        <v>-2413</v>
      </c>
      <c r="AT70" s="1" t="str">
        <f t="shared" si="3"/>
        <v>Compresión no aplica</v>
      </c>
      <c r="AU70" s="2">
        <v>881.1</v>
      </c>
      <c r="AV70" s="1">
        <f>IF(AU70/AR70&gt;=0,AU70/AR70, "Tensión no aplica")</f>
        <v>1.5375047507169264</v>
      </c>
      <c r="AW70" s="2">
        <v>1.33</v>
      </c>
      <c r="AX70" s="3">
        <f t="shared" si="5"/>
        <v>-90.753299999999996</v>
      </c>
      <c r="AY70" s="2">
        <v>0.01</v>
      </c>
      <c r="AZ70" s="2">
        <v>0</v>
      </c>
      <c r="BA70" s="2" t="s">
        <v>22</v>
      </c>
    </row>
    <row r="71" spans="37:53" x14ac:dyDescent="0.3">
      <c r="AK71" s="2" t="s">
        <v>21</v>
      </c>
      <c r="AL71" s="2">
        <v>0</v>
      </c>
      <c r="AM71" s="2">
        <v>0.81</v>
      </c>
      <c r="AN71" s="2">
        <f t="shared" si="0"/>
        <v>82.595700000000008</v>
      </c>
      <c r="AO71" s="2">
        <v>2736.59</v>
      </c>
      <c r="AP71" s="2">
        <f t="shared" si="1"/>
        <v>33.132354347744496</v>
      </c>
      <c r="AQ71" s="2">
        <v>-0.08</v>
      </c>
      <c r="AR71" s="2">
        <f t="shared" si="2"/>
        <v>-8.1576000000000004</v>
      </c>
      <c r="AS71" s="2">
        <v>-2413</v>
      </c>
      <c r="AT71" s="1">
        <f t="shared" si="3"/>
        <v>295.79778366186133</v>
      </c>
      <c r="AU71" s="2">
        <v>881.1</v>
      </c>
      <c r="AV71" s="1" t="str">
        <f>IF(AU71/AR71&gt;=0,AU71/AR71, "Tensión no aplica")</f>
        <v>Tensión no aplica</v>
      </c>
      <c r="AW71" s="2">
        <v>-1.22</v>
      </c>
      <c r="AX71" s="3">
        <f t="shared" si="5"/>
        <v>82.595700000000008</v>
      </c>
      <c r="AY71" s="2">
        <v>0.01</v>
      </c>
      <c r="AZ71" s="2">
        <v>0</v>
      </c>
      <c r="BA71" s="2" t="s">
        <v>23</v>
      </c>
    </row>
    <row r="72" spans="37:53" x14ac:dyDescent="0.3">
      <c r="AK72" s="2" t="s">
        <v>21</v>
      </c>
      <c r="AL72" s="11">
        <v>0</v>
      </c>
      <c r="AM72" s="11">
        <v>-3.68</v>
      </c>
      <c r="AN72" s="2">
        <f t="shared" si="0"/>
        <v>-375.24959999999999</v>
      </c>
      <c r="AO72" s="2">
        <v>2736.59</v>
      </c>
      <c r="AP72" s="2">
        <f t="shared" si="1"/>
        <v>7.2927192993676746</v>
      </c>
      <c r="AQ72" s="2">
        <v>4.67</v>
      </c>
      <c r="AR72" s="2">
        <f t="shared" si="2"/>
        <v>476.19990000000001</v>
      </c>
      <c r="AS72" s="2">
        <v>-2413</v>
      </c>
      <c r="AT72" s="1" t="str">
        <f t="shared" si="3"/>
        <v>Compresión no aplica</v>
      </c>
      <c r="AU72" s="2">
        <v>881.1</v>
      </c>
      <c r="AV72" s="1">
        <f t="shared" si="4"/>
        <v>1.8502733830897486</v>
      </c>
      <c r="AW72" s="2">
        <v>5.5</v>
      </c>
      <c r="AX72" s="3">
        <f t="shared" si="5"/>
        <v>-375.24959999999999</v>
      </c>
      <c r="AY72" s="2">
        <v>0.01</v>
      </c>
      <c r="AZ72" s="2">
        <v>0</v>
      </c>
      <c r="BA72" s="2" t="s">
        <v>24</v>
      </c>
    </row>
    <row r="73" spans="37:53" x14ac:dyDescent="0.3">
      <c r="AK73" s="2" t="s">
        <v>21</v>
      </c>
      <c r="AL73" s="2">
        <v>0</v>
      </c>
      <c r="AM73" s="2">
        <v>3.21</v>
      </c>
      <c r="AN73" s="2">
        <f t="shared" si="0"/>
        <v>327.32369999999997</v>
      </c>
      <c r="AO73" s="2">
        <v>2736.59</v>
      </c>
      <c r="AP73" s="2">
        <f t="shared" si="1"/>
        <v>8.3605006298046867</v>
      </c>
      <c r="AQ73" s="2">
        <v>0.78</v>
      </c>
      <c r="AR73" s="2">
        <f t="shared" si="2"/>
        <v>79.536600000000007</v>
      </c>
      <c r="AS73" s="2">
        <v>-2413</v>
      </c>
      <c r="AT73" s="1" t="str">
        <f t="shared" si="3"/>
        <v>Compresión no aplica</v>
      </c>
      <c r="AU73" s="2">
        <v>881.1</v>
      </c>
      <c r="AV73" s="1">
        <f t="shared" si="4"/>
        <v>11.077918844909135</v>
      </c>
      <c r="AW73" s="2">
        <v>-4.8</v>
      </c>
      <c r="AX73" s="3">
        <f t="shared" si="5"/>
        <v>327.32369999999997</v>
      </c>
      <c r="AY73" s="2">
        <v>0.01</v>
      </c>
      <c r="AZ73" s="2">
        <v>0</v>
      </c>
      <c r="BA73" s="2" t="s">
        <v>25</v>
      </c>
    </row>
    <row r="74" spans="37:53" x14ac:dyDescent="0.3">
      <c r="AK74" s="2" t="s">
        <v>21</v>
      </c>
      <c r="AL74" s="2">
        <v>0</v>
      </c>
      <c r="AM74" s="2">
        <v>-0.89</v>
      </c>
      <c r="AN74" s="2">
        <f t="shared" si="0"/>
        <v>-90.753299999999996</v>
      </c>
      <c r="AO74" s="2">
        <v>2736.59</v>
      </c>
      <c r="AP74" s="2">
        <f t="shared" si="1"/>
        <v>30.15416519289106</v>
      </c>
      <c r="AQ74" s="2">
        <v>4.58</v>
      </c>
      <c r="AR74" s="2">
        <f t="shared" si="2"/>
        <v>467.02260000000001</v>
      </c>
      <c r="AS74" s="2">
        <v>-2413</v>
      </c>
      <c r="AT74" s="1" t="str">
        <f t="shared" si="3"/>
        <v>Compresión no aplica</v>
      </c>
      <c r="AU74" s="2">
        <v>881.1</v>
      </c>
      <c r="AV74" s="1">
        <f t="shared" si="4"/>
        <v>1.8866324670369272</v>
      </c>
      <c r="AW74" s="2">
        <v>1.33</v>
      </c>
      <c r="AX74" s="3">
        <f t="shared" si="5"/>
        <v>-90.753299999999996</v>
      </c>
      <c r="AY74" s="2">
        <v>0</v>
      </c>
      <c r="AZ74" s="2">
        <v>0</v>
      </c>
      <c r="BA74" s="2" t="s">
        <v>26</v>
      </c>
    </row>
    <row r="75" spans="37:53" x14ac:dyDescent="0.3">
      <c r="AK75" s="2" t="s">
        <v>21</v>
      </c>
      <c r="AL75" s="2">
        <v>0</v>
      </c>
      <c r="AM75" s="2">
        <v>0.81</v>
      </c>
      <c r="AN75" s="2">
        <f t="shared" ref="AN75:AN138" si="6">AM75*101.97</f>
        <v>82.595700000000008</v>
      </c>
      <c r="AO75" s="2">
        <v>2736.59</v>
      </c>
      <c r="AP75" s="2">
        <f t="shared" ref="AP75:AP138" si="7">ABS(AO75/AN75)</f>
        <v>33.132354347744496</v>
      </c>
      <c r="AQ75" s="2">
        <v>-1.1100000000000001</v>
      </c>
      <c r="AR75" s="2">
        <f t="shared" ref="AR75:AR138" si="8">AQ75*101.97</f>
        <v>-113.1867</v>
      </c>
      <c r="AS75" s="2">
        <v>-2413</v>
      </c>
      <c r="AT75" s="1">
        <f t="shared" ref="AT75:AT138" si="9">IF(AS75/AR75&gt;=0,AS75/AR75, "Compresión no aplica")</f>
        <v>21.318759182836853</v>
      </c>
      <c r="AU75" s="2">
        <v>881.1</v>
      </c>
      <c r="AV75" s="1" t="str">
        <f t="shared" ref="AV75:AV138" si="10">IF(AU75/AR75&gt;=0,AU75/AR75, "Tensión no aplica")</f>
        <v>Tensión no aplica</v>
      </c>
      <c r="AW75" s="2">
        <v>-1.22</v>
      </c>
      <c r="AX75" s="3">
        <f t="shared" ref="AX75:AX138" si="11">AM75*101.97</f>
        <v>82.595700000000008</v>
      </c>
      <c r="AY75" s="2">
        <v>0</v>
      </c>
      <c r="AZ75" s="2">
        <v>0</v>
      </c>
      <c r="BA75" s="2" t="s">
        <v>27</v>
      </c>
    </row>
    <row r="76" spans="37:53" x14ac:dyDescent="0.3">
      <c r="AK76" s="2" t="s">
        <v>21</v>
      </c>
      <c r="AL76" s="2">
        <v>0</v>
      </c>
      <c r="AM76" s="2">
        <v>-3.68</v>
      </c>
      <c r="AN76" s="2">
        <f t="shared" si="6"/>
        <v>-375.24959999999999</v>
      </c>
      <c r="AO76" s="2">
        <v>2736.59</v>
      </c>
      <c r="AP76" s="2">
        <f t="shared" si="7"/>
        <v>7.2927192993676746</v>
      </c>
      <c r="AQ76" s="2">
        <v>3.63</v>
      </c>
      <c r="AR76" s="2">
        <f t="shared" si="8"/>
        <v>370.15109999999999</v>
      </c>
      <c r="AS76" s="2">
        <v>-2413</v>
      </c>
      <c r="AT76" s="1" t="str">
        <f t="shared" si="9"/>
        <v>Compresión no aplica</v>
      </c>
      <c r="AU76" s="2">
        <v>881.1</v>
      </c>
      <c r="AV76" s="1">
        <f t="shared" si="10"/>
        <v>2.3803792559308889</v>
      </c>
      <c r="AW76" s="2">
        <v>5.5</v>
      </c>
      <c r="AX76" s="3">
        <f t="shared" si="11"/>
        <v>-375.24959999999999</v>
      </c>
      <c r="AY76" s="2">
        <v>0</v>
      </c>
      <c r="AZ76" s="2">
        <v>0</v>
      </c>
      <c r="BA76" s="2" t="s">
        <v>28</v>
      </c>
    </row>
    <row r="77" spans="37:53" x14ac:dyDescent="0.3">
      <c r="AK77" s="2" t="s">
        <v>21</v>
      </c>
      <c r="AL77" s="2">
        <v>0</v>
      </c>
      <c r="AM77" s="2">
        <v>3.21</v>
      </c>
      <c r="AN77" s="2">
        <f t="shared" si="6"/>
        <v>327.32369999999997</v>
      </c>
      <c r="AO77" s="2">
        <v>2736.59</v>
      </c>
      <c r="AP77" s="2">
        <f t="shared" si="7"/>
        <v>8.3605006298046867</v>
      </c>
      <c r="AQ77" s="2">
        <v>-0.26</v>
      </c>
      <c r="AR77" s="2">
        <f t="shared" si="8"/>
        <v>-26.5122</v>
      </c>
      <c r="AS77" s="2">
        <v>-2413</v>
      </c>
      <c r="AT77" s="1">
        <f t="shared" si="9"/>
        <v>91.014702665188096</v>
      </c>
      <c r="AU77" s="2">
        <v>881.1</v>
      </c>
      <c r="AV77" s="1" t="str">
        <f t="shared" si="10"/>
        <v>Tensión no aplica</v>
      </c>
      <c r="AW77" s="2">
        <v>-4.8</v>
      </c>
      <c r="AX77" s="3">
        <f t="shared" si="11"/>
        <v>327.32369999999997</v>
      </c>
      <c r="AY77" s="2">
        <v>0</v>
      </c>
      <c r="AZ77" s="2">
        <v>0</v>
      </c>
      <c r="BA77" s="2" t="s">
        <v>29</v>
      </c>
    </row>
    <row r="78" spans="37:53" x14ac:dyDescent="0.3">
      <c r="AK78" s="2" t="s">
        <v>21</v>
      </c>
      <c r="AL78" s="2">
        <v>0</v>
      </c>
      <c r="AM78" s="2">
        <v>0</v>
      </c>
      <c r="AN78" s="2">
        <v>1.0000000000000001E-5</v>
      </c>
      <c r="AO78" s="2">
        <v>2736.59</v>
      </c>
      <c r="AP78" s="2">
        <f t="shared" si="7"/>
        <v>273659000</v>
      </c>
      <c r="AQ78" s="2">
        <v>2.59</v>
      </c>
      <c r="AR78" s="2">
        <f t="shared" si="8"/>
        <v>264.10229999999996</v>
      </c>
      <c r="AS78" s="2">
        <v>-2413</v>
      </c>
      <c r="AT78" s="1" t="str">
        <f t="shared" si="9"/>
        <v>Compresión no aplica</v>
      </c>
      <c r="AU78" s="2">
        <v>881.1</v>
      </c>
      <c r="AV78" s="1">
        <f t="shared" si="10"/>
        <v>3.336207219702366</v>
      </c>
      <c r="AW78" s="2">
        <v>0</v>
      </c>
      <c r="AX78" s="3">
        <f t="shared" si="11"/>
        <v>0</v>
      </c>
      <c r="AY78" s="2">
        <v>0.01</v>
      </c>
      <c r="AZ78" s="2">
        <v>0</v>
      </c>
      <c r="BA78" s="2" t="s">
        <v>30</v>
      </c>
    </row>
    <row r="79" spans="37:53" x14ac:dyDescent="0.3">
      <c r="AK79" s="2" t="s">
        <v>21</v>
      </c>
      <c r="AL79" s="11">
        <v>0</v>
      </c>
      <c r="AM79" s="11">
        <v>-0.36</v>
      </c>
      <c r="AN79" s="2">
        <f t="shared" si="6"/>
        <v>-36.709199999999996</v>
      </c>
      <c r="AO79" s="2">
        <v>2736.59</v>
      </c>
      <c r="AP79" s="2">
        <f t="shared" si="7"/>
        <v>74.547797282425122</v>
      </c>
      <c r="AQ79" s="2">
        <v>2.83</v>
      </c>
      <c r="AR79" s="2">
        <f t="shared" si="8"/>
        <v>288.57510000000002</v>
      </c>
      <c r="AS79" s="2">
        <v>-2413</v>
      </c>
      <c r="AT79" s="1" t="str">
        <f t="shared" si="9"/>
        <v>Compresión no aplica</v>
      </c>
      <c r="AU79" s="2">
        <v>881.1</v>
      </c>
      <c r="AV79" s="1">
        <f t="shared" si="10"/>
        <v>3.0532779855226595</v>
      </c>
      <c r="AW79" s="2">
        <v>0.53</v>
      </c>
      <c r="AX79" s="3">
        <f t="shared" si="11"/>
        <v>-36.709199999999996</v>
      </c>
      <c r="AY79" s="2">
        <v>0.01</v>
      </c>
      <c r="AZ79" s="2">
        <v>0</v>
      </c>
      <c r="BA79" s="2" t="s">
        <v>31</v>
      </c>
    </row>
    <row r="80" spans="37:53" x14ac:dyDescent="0.3">
      <c r="AK80" s="2" t="s">
        <v>21</v>
      </c>
      <c r="AL80" s="2">
        <v>0</v>
      </c>
      <c r="AM80" s="2">
        <v>-0.36</v>
      </c>
      <c r="AN80" s="2">
        <f t="shared" si="6"/>
        <v>-36.709199999999996</v>
      </c>
      <c r="AO80" s="2">
        <v>2736.59</v>
      </c>
      <c r="AP80" s="2">
        <f t="shared" si="7"/>
        <v>74.547797282425122</v>
      </c>
      <c r="AQ80" s="2">
        <v>1.79</v>
      </c>
      <c r="AR80" s="2">
        <f t="shared" si="8"/>
        <v>182.52629999999999</v>
      </c>
      <c r="AS80" s="2">
        <v>-2413</v>
      </c>
      <c r="AT80" s="1" t="str">
        <f t="shared" si="9"/>
        <v>Compresión no aplica</v>
      </c>
      <c r="AU80" s="2">
        <v>881.1</v>
      </c>
      <c r="AV80" s="1">
        <f t="shared" si="10"/>
        <v>4.8272495525302386</v>
      </c>
      <c r="AW80" s="2">
        <v>0.53</v>
      </c>
      <c r="AX80" s="3">
        <f t="shared" si="11"/>
        <v>-36.709199999999996</v>
      </c>
      <c r="AY80" s="2">
        <v>0</v>
      </c>
      <c r="AZ80" s="2">
        <v>0</v>
      </c>
      <c r="BA80" s="2" t="s">
        <v>32</v>
      </c>
    </row>
    <row r="81" spans="37:53" x14ac:dyDescent="0.3">
      <c r="AK81" s="2" t="s">
        <v>21</v>
      </c>
      <c r="AL81" s="2">
        <v>0</v>
      </c>
      <c r="AM81" s="2">
        <v>-0.67</v>
      </c>
      <c r="AN81" s="2">
        <f t="shared" si="6"/>
        <v>-68.319900000000004</v>
      </c>
      <c r="AO81" s="2">
        <v>2736.59</v>
      </c>
      <c r="AP81" s="2">
        <f t="shared" si="7"/>
        <v>40.055532868168719</v>
      </c>
      <c r="AQ81" s="2">
        <v>4.8600000000000003</v>
      </c>
      <c r="AR81" s="2">
        <f t="shared" si="8"/>
        <v>495.57420000000002</v>
      </c>
      <c r="AS81" s="2">
        <v>-2413</v>
      </c>
      <c r="AT81" s="1" t="str">
        <f t="shared" si="9"/>
        <v>Compresión no aplica</v>
      </c>
      <c r="AU81" s="2">
        <v>881.1</v>
      </c>
      <c r="AV81" s="1">
        <f t="shared" si="10"/>
        <v>1.7779375923928242</v>
      </c>
      <c r="AW81" s="2">
        <v>1</v>
      </c>
      <c r="AX81" s="3">
        <f t="shared" si="11"/>
        <v>-68.319900000000004</v>
      </c>
      <c r="AY81" s="2">
        <v>0.01</v>
      </c>
      <c r="AZ81" s="2">
        <v>0</v>
      </c>
      <c r="BA81" s="2" t="s">
        <v>33</v>
      </c>
    </row>
    <row r="82" spans="37:53" x14ac:dyDescent="0.3">
      <c r="AK82" s="2" t="s">
        <v>21</v>
      </c>
      <c r="AL82" s="2">
        <v>0</v>
      </c>
      <c r="AM82" s="2">
        <v>0.61</v>
      </c>
      <c r="AN82" s="2">
        <f t="shared" si="6"/>
        <v>62.201699999999995</v>
      </c>
      <c r="AO82" s="2">
        <v>2736.59</v>
      </c>
      <c r="AP82" s="2">
        <f t="shared" si="7"/>
        <v>43.995421347004992</v>
      </c>
      <c r="AQ82" s="2">
        <v>0.59</v>
      </c>
      <c r="AR82" s="2">
        <f t="shared" si="8"/>
        <v>60.162299999999995</v>
      </c>
      <c r="AS82" s="2">
        <v>-2413</v>
      </c>
      <c r="AT82" s="1" t="str">
        <f t="shared" si="9"/>
        <v>Compresión no aplica</v>
      </c>
      <c r="AU82" s="2">
        <v>881.1</v>
      </c>
      <c r="AV82" s="1">
        <f t="shared" si="10"/>
        <v>14.645384235642588</v>
      </c>
      <c r="AW82" s="2">
        <v>-0.91</v>
      </c>
      <c r="AX82" s="3">
        <f t="shared" si="11"/>
        <v>62.201699999999995</v>
      </c>
      <c r="AY82" s="2">
        <v>0.01</v>
      </c>
      <c r="AZ82" s="2">
        <v>0</v>
      </c>
      <c r="BA82" s="2" t="s">
        <v>34</v>
      </c>
    </row>
    <row r="83" spans="37:53" x14ac:dyDescent="0.3">
      <c r="AK83" s="2" t="s">
        <v>21</v>
      </c>
      <c r="AL83" s="2">
        <v>0</v>
      </c>
      <c r="AM83" s="2">
        <v>-2.76</v>
      </c>
      <c r="AN83" s="2">
        <f t="shared" si="6"/>
        <v>-281.43719999999996</v>
      </c>
      <c r="AO83" s="2">
        <v>2736.59</v>
      </c>
      <c r="AP83" s="2">
        <f t="shared" si="7"/>
        <v>9.723625732490234</v>
      </c>
      <c r="AQ83" s="2">
        <v>4.1500000000000004</v>
      </c>
      <c r="AR83" s="2">
        <f t="shared" si="8"/>
        <v>423.17550000000006</v>
      </c>
      <c r="AS83" s="2">
        <v>-2413</v>
      </c>
      <c r="AT83" s="1" t="str">
        <f t="shared" si="9"/>
        <v>Compresión no aplica</v>
      </c>
      <c r="AU83" s="2">
        <v>881.1</v>
      </c>
      <c r="AV83" s="1">
        <f t="shared" si="10"/>
        <v>2.082114867235934</v>
      </c>
      <c r="AW83" s="2">
        <v>4.13</v>
      </c>
      <c r="AX83" s="3">
        <f t="shared" si="11"/>
        <v>-281.43719999999996</v>
      </c>
      <c r="AY83" s="2">
        <v>0.01</v>
      </c>
      <c r="AZ83" s="2">
        <v>0</v>
      </c>
      <c r="BA83" s="2" t="s">
        <v>35</v>
      </c>
    </row>
    <row r="84" spans="37:53" x14ac:dyDescent="0.3">
      <c r="AK84" s="2" t="s">
        <v>21</v>
      </c>
      <c r="AL84" s="2">
        <v>0</v>
      </c>
      <c r="AM84" s="2">
        <v>2.4</v>
      </c>
      <c r="AN84" s="2">
        <f t="shared" si="6"/>
        <v>244.72799999999998</v>
      </c>
      <c r="AO84" s="2">
        <v>2736.59</v>
      </c>
      <c r="AP84" s="2">
        <f t="shared" si="7"/>
        <v>11.182169592363769</v>
      </c>
      <c r="AQ84" s="2">
        <v>1.23</v>
      </c>
      <c r="AR84" s="2">
        <f t="shared" si="8"/>
        <v>125.42309999999999</v>
      </c>
      <c r="AS84" s="2">
        <v>-2413</v>
      </c>
      <c r="AT84" s="1" t="str">
        <f t="shared" si="9"/>
        <v>Compresión no aplica</v>
      </c>
      <c r="AU84" s="2">
        <v>881.1</v>
      </c>
      <c r="AV84" s="1">
        <f t="shared" si="10"/>
        <v>7.0250217065277454</v>
      </c>
      <c r="AW84" s="2">
        <v>-3.6</v>
      </c>
      <c r="AX84" s="3">
        <f t="shared" si="11"/>
        <v>244.72799999999998</v>
      </c>
      <c r="AY84" s="2">
        <v>0.01</v>
      </c>
      <c r="AZ84" s="2">
        <v>0</v>
      </c>
      <c r="BA84" s="2" t="s">
        <v>36</v>
      </c>
    </row>
    <row r="85" spans="37:53" x14ac:dyDescent="0.3">
      <c r="AK85" s="2" t="s">
        <v>21</v>
      </c>
      <c r="AL85" s="2">
        <v>0</v>
      </c>
      <c r="AM85" s="2">
        <v>-0.89</v>
      </c>
      <c r="AN85" s="2">
        <f t="shared" si="6"/>
        <v>-90.753299999999996</v>
      </c>
      <c r="AO85" s="2">
        <v>2736.59</v>
      </c>
      <c r="AP85" s="2">
        <f t="shared" si="7"/>
        <v>30.15416519289106</v>
      </c>
      <c r="AQ85" s="2">
        <v>5.62</v>
      </c>
      <c r="AR85" s="2">
        <f t="shared" si="8"/>
        <v>573.07140000000004</v>
      </c>
      <c r="AS85" s="2">
        <v>-2413</v>
      </c>
      <c r="AT85" s="1" t="str">
        <f t="shared" si="9"/>
        <v>Compresión no aplica</v>
      </c>
      <c r="AU85" s="2">
        <v>881.1</v>
      </c>
      <c r="AV85" s="1">
        <f t="shared" si="10"/>
        <v>1.5375047507169264</v>
      </c>
      <c r="AW85" s="2">
        <v>1.34</v>
      </c>
      <c r="AX85" s="3">
        <f t="shared" si="11"/>
        <v>-90.753299999999996</v>
      </c>
      <c r="AY85" s="2">
        <v>-0.01</v>
      </c>
      <c r="AZ85" s="2">
        <v>0</v>
      </c>
      <c r="BA85" s="2" t="s">
        <v>22</v>
      </c>
    </row>
    <row r="86" spans="37:53" x14ac:dyDescent="0.3">
      <c r="AK86" s="2" t="s">
        <v>21</v>
      </c>
      <c r="AL86" s="11">
        <v>0</v>
      </c>
      <c r="AM86" s="11">
        <v>0.82</v>
      </c>
      <c r="AN86" s="2">
        <f t="shared" si="6"/>
        <v>83.615399999999994</v>
      </c>
      <c r="AO86" s="2">
        <v>2736.59</v>
      </c>
      <c r="AP86" s="2">
        <f t="shared" si="7"/>
        <v>32.728301245942738</v>
      </c>
      <c r="AQ86" s="2">
        <v>-0.08</v>
      </c>
      <c r="AR86" s="2">
        <f t="shared" si="8"/>
        <v>-8.1576000000000004</v>
      </c>
      <c r="AS86" s="2">
        <v>-2413</v>
      </c>
      <c r="AT86" s="1">
        <f t="shared" si="9"/>
        <v>295.79778366186133</v>
      </c>
      <c r="AU86" s="2">
        <v>881.1</v>
      </c>
      <c r="AV86" s="1" t="str">
        <f t="shared" si="10"/>
        <v>Tensión no aplica</v>
      </c>
      <c r="AW86" s="2">
        <v>-1.22</v>
      </c>
      <c r="AX86" s="3">
        <f t="shared" si="11"/>
        <v>83.615399999999994</v>
      </c>
      <c r="AY86" s="2">
        <v>-0.01</v>
      </c>
      <c r="AZ86" s="2">
        <v>0</v>
      </c>
      <c r="BA86" s="2" t="s">
        <v>23</v>
      </c>
    </row>
    <row r="87" spans="37:53" x14ac:dyDescent="0.3">
      <c r="AK87" s="2" t="s">
        <v>21</v>
      </c>
      <c r="AL87" s="2">
        <v>0</v>
      </c>
      <c r="AM87" s="2">
        <v>-3.68</v>
      </c>
      <c r="AN87" s="2">
        <f t="shared" si="6"/>
        <v>-375.24959999999999</v>
      </c>
      <c r="AO87" s="2">
        <v>2736.59</v>
      </c>
      <c r="AP87" s="2">
        <f t="shared" si="7"/>
        <v>7.2927192993676746</v>
      </c>
      <c r="AQ87" s="2">
        <v>4.67</v>
      </c>
      <c r="AR87" s="2">
        <f t="shared" si="8"/>
        <v>476.19990000000001</v>
      </c>
      <c r="AS87" s="2">
        <v>-2413</v>
      </c>
      <c r="AT87" s="1" t="str">
        <f t="shared" si="9"/>
        <v>Compresión no aplica</v>
      </c>
      <c r="AU87" s="2">
        <v>881.1</v>
      </c>
      <c r="AV87" s="1">
        <f t="shared" si="10"/>
        <v>1.8502733830897486</v>
      </c>
      <c r="AW87" s="2">
        <v>5.51</v>
      </c>
      <c r="AX87" s="3">
        <f t="shared" si="11"/>
        <v>-375.24959999999999</v>
      </c>
      <c r="AY87" s="2">
        <v>-0.01</v>
      </c>
      <c r="AZ87" s="2">
        <v>0</v>
      </c>
      <c r="BA87" s="2" t="s">
        <v>24</v>
      </c>
    </row>
    <row r="88" spans="37:53" x14ac:dyDescent="0.3">
      <c r="AK88" s="2" t="s">
        <v>21</v>
      </c>
      <c r="AL88" s="2">
        <v>0</v>
      </c>
      <c r="AM88" s="2">
        <v>3.21</v>
      </c>
      <c r="AN88" s="2">
        <f t="shared" si="6"/>
        <v>327.32369999999997</v>
      </c>
      <c r="AO88" s="2">
        <v>2736.59</v>
      </c>
      <c r="AP88" s="2">
        <f t="shared" si="7"/>
        <v>8.3605006298046867</v>
      </c>
      <c r="AQ88" s="2">
        <v>0.78</v>
      </c>
      <c r="AR88" s="2">
        <f t="shared" si="8"/>
        <v>79.536600000000007</v>
      </c>
      <c r="AS88" s="2">
        <v>-2413</v>
      </c>
      <c r="AT88" s="1" t="str">
        <f t="shared" si="9"/>
        <v>Compresión no aplica</v>
      </c>
      <c r="AU88" s="2">
        <v>881.1</v>
      </c>
      <c r="AV88" s="1">
        <f t="shared" si="10"/>
        <v>11.077918844909135</v>
      </c>
      <c r="AW88" s="2">
        <v>-4.8</v>
      </c>
      <c r="AX88" s="3">
        <f t="shared" si="11"/>
        <v>327.32369999999997</v>
      </c>
      <c r="AY88" s="2">
        <v>-0.01</v>
      </c>
      <c r="AZ88" s="2">
        <v>0</v>
      </c>
      <c r="BA88" s="2" t="s">
        <v>25</v>
      </c>
    </row>
    <row r="89" spans="37:53" x14ac:dyDescent="0.3">
      <c r="AK89" s="2" t="s">
        <v>21</v>
      </c>
      <c r="AL89" s="2">
        <v>0</v>
      </c>
      <c r="AM89" s="2">
        <v>-0.89</v>
      </c>
      <c r="AN89" s="2">
        <f t="shared" si="6"/>
        <v>-90.753299999999996</v>
      </c>
      <c r="AO89" s="2">
        <v>2736.59</v>
      </c>
      <c r="AP89" s="2">
        <f t="shared" si="7"/>
        <v>30.15416519289106</v>
      </c>
      <c r="AQ89" s="2">
        <v>4.58</v>
      </c>
      <c r="AR89" s="2">
        <f t="shared" si="8"/>
        <v>467.02260000000001</v>
      </c>
      <c r="AS89" s="2">
        <v>-2413</v>
      </c>
      <c r="AT89" s="1" t="str">
        <f t="shared" si="9"/>
        <v>Compresión no aplica</v>
      </c>
      <c r="AU89" s="2">
        <v>881.1</v>
      </c>
      <c r="AV89" s="1">
        <f t="shared" si="10"/>
        <v>1.8866324670369272</v>
      </c>
      <c r="AW89" s="2">
        <v>1.34</v>
      </c>
      <c r="AX89" s="3">
        <f t="shared" si="11"/>
        <v>-90.753299999999996</v>
      </c>
      <c r="AY89" s="2">
        <v>0</v>
      </c>
      <c r="AZ89" s="2">
        <v>0</v>
      </c>
      <c r="BA89" s="2" t="s">
        <v>26</v>
      </c>
    </row>
    <row r="90" spans="37:53" x14ac:dyDescent="0.3">
      <c r="AK90" s="2" t="s">
        <v>21</v>
      </c>
      <c r="AL90" s="2">
        <v>0</v>
      </c>
      <c r="AM90" s="2">
        <v>0.82</v>
      </c>
      <c r="AN90" s="2">
        <f t="shared" si="6"/>
        <v>83.615399999999994</v>
      </c>
      <c r="AO90" s="2">
        <v>2736.59</v>
      </c>
      <c r="AP90" s="2">
        <f t="shared" si="7"/>
        <v>32.728301245942738</v>
      </c>
      <c r="AQ90" s="2">
        <v>-1.1100000000000001</v>
      </c>
      <c r="AR90" s="2">
        <f t="shared" si="8"/>
        <v>-113.1867</v>
      </c>
      <c r="AS90" s="2">
        <v>-2413</v>
      </c>
      <c r="AT90" s="1">
        <f t="shared" si="9"/>
        <v>21.318759182836853</v>
      </c>
      <c r="AU90" s="2">
        <v>881.1</v>
      </c>
      <c r="AV90" s="1" t="str">
        <f t="shared" si="10"/>
        <v>Tensión no aplica</v>
      </c>
      <c r="AW90" s="2">
        <v>-1.22</v>
      </c>
      <c r="AX90" s="3">
        <f t="shared" si="11"/>
        <v>83.615399999999994</v>
      </c>
      <c r="AY90" s="2">
        <v>0</v>
      </c>
      <c r="AZ90" s="2">
        <v>0</v>
      </c>
      <c r="BA90" s="2" t="s">
        <v>27</v>
      </c>
    </row>
    <row r="91" spans="37:53" x14ac:dyDescent="0.3">
      <c r="AK91" s="2" t="s">
        <v>21</v>
      </c>
      <c r="AL91" s="2">
        <v>0</v>
      </c>
      <c r="AM91" s="2">
        <v>-3.68</v>
      </c>
      <c r="AN91" s="2">
        <f t="shared" si="6"/>
        <v>-375.24959999999999</v>
      </c>
      <c r="AO91" s="2">
        <v>2736.59</v>
      </c>
      <c r="AP91" s="2">
        <f t="shared" si="7"/>
        <v>7.2927192993676746</v>
      </c>
      <c r="AQ91" s="2">
        <v>3.63</v>
      </c>
      <c r="AR91" s="2">
        <f t="shared" si="8"/>
        <v>370.15109999999999</v>
      </c>
      <c r="AS91" s="2">
        <v>-2413</v>
      </c>
      <c r="AT91" s="1" t="str">
        <f t="shared" si="9"/>
        <v>Compresión no aplica</v>
      </c>
      <c r="AU91" s="2">
        <v>881.1</v>
      </c>
      <c r="AV91" s="1">
        <f t="shared" si="10"/>
        <v>2.3803792559308889</v>
      </c>
      <c r="AW91" s="2">
        <v>5.51</v>
      </c>
      <c r="AX91" s="3">
        <f t="shared" si="11"/>
        <v>-375.24959999999999</v>
      </c>
      <c r="AY91" s="2">
        <v>0</v>
      </c>
      <c r="AZ91" s="2">
        <v>0</v>
      </c>
      <c r="BA91" s="2" t="s">
        <v>28</v>
      </c>
    </row>
    <row r="92" spans="37:53" x14ac:dyDescent="0.3">
      <c r="AK92" s="2" t="s">
        <v>21</v>
      </c>
      <c r="AL92" s="2">
        <v>0</v>
      </c>
      <c r="AM92" s="2">
        <v>3.21</v>
      </c>
      <c r="AN92" s="2">
        <f t="shared" si="6"/>
        <v>327.32369999999997</v>
      </c>
      <c r="AO92" s="2">
        <v>2736.59</v>
      </c>
      <c r="AP92" s="2">
        <f t="shared" si="7"/>
        <v>8.3605006298046867</v>
      </c>
      <c r="AQ92" s="2">
        <v>-0.26</v>
      </c>
      <c r="AR92" s="2">
        <f t="shared" si="8"/>
        <v>-26.5122</v>
      </c>
      <c r="AS92" s="2">
        <v>-2413</v>
      </c>
      <c r="AT92" s="1">
        <f t="shared" si="9"/>
        <v>91.014702665188096</v>
      </c>
      <c r="AU92" s="2">
        <v>881.1</v>
      </c>
      <c r="AV92" s="1" t="str">
        <f t="shared" si="10"/>
        <v>Tensión no aplica</v>
      </c>
      <c r="AW92" s="2">
        <v>-4.8</v>
      </c>
      <c r="AX92" s="3">
        <f t="shared" si="11"/>
        <v>327.32369999999997</v>
      </c>
      <c r="AY92" s="2">
        <v>0</v>
      </c>
      <c r="AZ92" s="2">
        <v>0</v>
      </c>
      <c r="BA92" s="2" t="s">
        <v>29</v>
      </c>
    </row>
    <row r="93" spans="37:53" x14ac:dyDescent="0.3">
      <c r="AK93" s="2" t="s">
        <v>21</v>
      </c>
      <c r="AL93" s="11">
        <v>0</v>
      </c>
      <c r="AM93" s="11">
        <v>0</v>
      </c>
      <c r="AN93" s="2">
        <v>9.9999999999999995E-7</v>
      </c>
      <c r="AO93" s="2">
        <v>2736.59</v>
      </c>
      <c r="AP93" s="2">
        <f t="shared" si="7"/>
        <v>2736590000.0000005</v>
      </c>
      <c r="AQ93" s="2">
        <v>2.59</v>
      </c>
      <c r="AR93" s="2">
        <f t="shared" si="8"/>
        <v>264.10229999999996</v>
      </c>
      <c r="AS93" s="2">
        <v>-2413</v>
      </c>
      <c r="AT93" s="1" t="str">
        <f t="shared" si="9"/>
        <v>Compresión no aplica</v>
      </c>
      <c r="AU93" s="2">
        <v>881.1</v>
      </c>
      <c r="AV93" s="1">
        <f t="shared" si="10"/>
        <v>3.336207219702366</v>
      </c>
      <c r="AW93" s="2">
        <v>0</v>
      </c>
      <c r="AX93" s="3">
        <f t="shared" si="11"/>
        <v>0</v>
      </c>
      <c r="AY93" s="2">
        <v>-0.01</v>
      </c>
      <c r="AZ93" s="2">
        <v>0</v>
      </c>
      <c r="BA93" s="2" t="s">
        <v>30</v>
      </c>
    </row>
    <row r="94" spans="37:53" x14ac:dyDescent="0.3">
      <c r="AK94" s="2" t="s">
        <v>21</v>
      </c>
      <c r="AL94" s="2">
        <v>0</v>
      </c>
      <c r="AM94" s="2">
        <v>-0.36</v>
      </c>
      <c r="AN94" s="2">
        <f t="shared" si="6"/>
        <v>-36.709199999999996</v>
      </c>
      <c r="AO94" s="2">
        <v>2736.59</v>
      </c>
      <c r="AP94" s="2">
        <f t="shared" si="7"/>
        <v>74.547797282425122</v>
      </c>
      <c r="AQ94" s="2">
        <v>2.83</v>
      </c>
      <c r="AR94" s="2">
        <f t="shared" si="8"/>
        <v>288.57510000000002</v>
      </c>
      <c r="AS94" s="2">
        <v>-2413</v>
      </c>
      <c r="AT94" s="1" t="str">
        <f t="shared" si="9"/>
        <v>Compresión no aplica</v>
      </c>
      <c r="AU94" s="2">
        <v>881.1</v>
      </c>
      <c r="AV94" s="1">
        <f t="shared" si="10"/>
        <v>3.0532779855226595</v>
      </c>
      <c r="AW94" s="2">
        <v>0.53</v>
      </c>
      <c r="AX94" s="3">
        <f t="shared" si="11"/>
        <v>-36.709199999999996</v>
      </c>
      <c r="AY94" s="2">
        <v>-0.01</v>
      </c>
      <c r="AZ94" s="2">
        <v>0</v>
      </c>
      <c r="BA94" s="2" t="s">
        <v>31</v>
      </c>
    </row>
    <row r="95" spans="37:53" x14ac:dyDescent="0.3">
      <c r="AK95" s="2" t="s">
        <v>21</v>
      </c>
      <c r="AL95" s="2">
        <v>0</v>
      </c>
      <c r="AM95" s="2">
        <v>-0.36</v>
      </c>
      <c r="AN95" s="2">
        <f t="shared" si="6"/>
        <v>-36.709199999999996</v>
      </c>
      <c r="AO95" s="2">
        <v>2736.59</v>
      </c>
      <c r="AP95" s="2">
        <f t="shared" si="7"/>
        <v>74.547797282425122</v>
      </c>
      <c r="AQ95" s="2">
        <v>1.79</v>
      </c>
      <c r="AR95" s="2">
        <f t="shared" si="8"/>
        <v>182.52629999999999</v>
      </c>
      <c r="AS95" s="2">
        <v>-2413</v>
      </c>
      <c r="AT95" s="1" t="str">
        <f t="shared" si="9"/>
        <v>Compresión no aplica</v>
      </c>
      <c r="AU95" s="2">
        <v>881.1</v>
      </c>
      <c r="AV95" s="1">
        <f t="shared" si="10"/>
        <v>4.8272495525302386</v>
      </c>
      <c r="AW95" s="2">
        <v>0.53</v>
      </c>
      <c r="AX95" s="3">
        <f t="shared" si="11"/>
        <v>-36.709199999999996</v>
      </c>
      <c r="AY95" s="2">
        <v>0</v>
      </c>
      <c r="AZ95" s="2">
        <v>0</v>
      </c>
      <c r="BA95" s="2" t="s">
        <v>32</v>
      </c>
    </row>
    <row r="96" spans="37:53" x14ac:dyDescent="0.3">
      <c r="AK96" s="2" t="s">
        <v>21</v>
      </c>
      <c r="AL96" s="2">
        <v>0</v>
      </c>
      <c r="AM96" s="2">
        <v>-0.67</v>
      </c>
      <c r="AN96" s="2">
        <f t="shared" si="6"/>
        <v>-68.319900000000004</v>
      </c>
      <c r="AO96" s="2">
        <v>2736.59</v>
      </c>
      <c r="AP96" s="2">
        <f t="shared" si="7"/>
        <v>40.055532868168719</v>
      </c>
      <c r="AQ96" s="2">
        <v>4.8600000000000003</v>
      </c>
      <c r="AR96" s="2">
        <f t="shared" si="8"/>
        <v>495.57420000000002</v>
      </c>
      <c r="AS96" s="2">
        <v>-2413</v>
      </c>
      <c r="AT96" s="1" t="str">
        <f t="shared" si="9"/>
        <v>Compresión no aplica</v>
      </c>
      <c r="AU96" s="2">
        <v>881.1</v>
      </c>
      <c r="AV96" s="1">
        <f t="shared" si="10"/>
        <v>1.7779375923928242</v>
      </c>
      <c r="AW96" s="2">
        <v>1</v>
      </c>
      <c r="AX96" s="3">
        <f t="shared" si="11"/>
        <v>-68.319900000000004</v>
      </c>
      <c r="AY96" s="2">
        <v>-0.01</v>
      </c>
      <c r="AZ96" s="2">
        <v>0</v>
      </c>
      <c r="BA96" s="2" t="s">
        <v>33</v>
      </c>
    </row>
    <row r="97" spans="37:53" x14ac:dyDescent="0.3">
      <c r="AK97" s="2" t="s">
        <v>21</v>
      </c>
      <c r="AL97" s="2">
        <v>0</v>
      </c>
      <c r="AM97" s="2">
        <v>0.61</v>
      </c>
      <c r="AN97" s="2">
        <f t="shared" si="6"/>
        <v>62.201699999999995</v>
      </c>
      <c r="AO97" s="2">
        <v>2736.59</v>
      </c>
      <c r="AP97" s="2">
        <f t="shared" si="7"/>
        <v>43.995421347004992</v>
      </c>
      <c r="AQ97" s="2">
        <v>0.59</v>
      </c>
      <c r="AR97" s="2">
        <f t="shared" si="8"/>
        <v>60.162299999999995</v>
      </c>
      <c r="AS97" s="2">
        <v>-2413</v>
      </c>
      <c r="AT97" s="1" t="str">
        <f t="shared" si="9"/>
        <v>Compresión no aplica</v>
      </c>
      <c r="AU97" s="2">
        <v>881.1</v>
      </c>
      <c r="AV97" s="1">
        <f t="shared" si="10"/>
        <v>14.645384235642588</v>
      </c>
      <c r="AW97" s="2">
        <v>-0.92</v>
      </c>
      <c r="AX97" s="3">
        <f t="shared" si="11"/>
        <v>62.201699999999995</v>
      </c>
      <c r="AY97" s="2">
        <v>-0.01</v>
      </c>
      <c r="AZ97" s="2">
        <v>0</v>
      </c>
      <c r="BA97" s="2" t="s">
        <v>34</v>
      </c>
    </row>
    <row r="98" spans="37:53" x14ac:dyDescent="0.3">
      <c r="AK98" s="2" t="s">
        <v>21</v>
      </c>
      <c r="AL98" s="2">
        <v>0</v>
      </c>
      <c r="AM98" s="2">
        <v>-2.76</v>
      </c>
      <c r="AN98" s="2">
        <f t="shared" si="6"/>
        <v>-281.43719999999996</v>
      </c>
      <c r="AO98" s="2">
        <v>2736.59</v>
      </c>
      <c r="AP98" s="2">
        <f t="shared" si="7"/>
        <v>9.723625732490234</v>
      </c>
      <c r="AQ98" s="2">
        <v>4.1500000000000004</v>
      </c>
      <c r="AR98" s="2">
        <f t="shared" si="8"/>
        <v>423.17550000000006</v>
      </c>
      <c r="AS98" s="2">
        <v>-2413</v>
      </c>
      <c r="AT98" s="1" t="str">
        <f t="shared" si="9"/>
        <v>Compresión no aplica</v>
      </c>
      <c r="AU98" s="2">
        <v>881.1</v>
      </c>
      <c r="AV98" s="1">
        <f t="shared" si="10"/>
        <v>2.082114867235934</v>
      </c>
      <c r="AW98" s="2">
        <v>4.13</v>
      </c>
      <c r="AX98" s="3">
        <f t="shared" si="11"/>
        <v>-281.43719999999996</v>
      </c>
      <c r="AY98" s="2">
        <v>-0.01</v>
      </c>
      <c r="AZ98" s="2">
        <v>0</v>
      </c>
      <c r="BA98" s="2" t="s">
        <v>35</v>
      </c>
    </row>
    <row r="99" spans="37:53" x14ac:dyDescent="0.3">
      <c r="AK99" s="2" t="s">
        <v>21</v>
      </c>
      <c r="AL99" s="2">
        <v>0</v>
      </c>
      <c r="AM99" s="2">
        <v>2.41</v>
      </c>
      <c r="AN99" s="2">
        <f t="shared" si="6"/>
        <v>245.74770000000001</v>
      </c>
      <c r="AO99" s="2">
        <v>2736.59</v>
      </c>
      <c r="AP99" s="2">
        <f t="shared" si="7"/>
        <v>11.135770548412051</v>
      </c>
      <c r="AQ99" s="2">
        <v>1.23</v>
      </c>
      <c r="AR99" s="2">
        <f t="shared" si="8"/>
        <v>125.42309999999999</v>
      </c>
      <c r="AS99" s="2">
        <v>-2413</v>
      </c>
      <c r="AT99" s="1" t="str">
        <f t="shared" si="9"/>
        <v>Compresión no aplica</v>
      </c>
      <c r="AU99" s="2">
        <v>881.1</v>
      </c>
      <c r="AV99" s="1">
        <f t="shared" si="10"/>
        <v>7.0250217065277454</v>
      </c>
      <c r="AW99" s="2">
        <v>-3.6</v>
      </c>
      <c r="AX99" s="3">
        <f t="shared" si="11"/>
        <v>245.74770000000001</v>
      </c>
      <c r="AY99" s="2">
        <v>-0.01</v>
      </c>
      <c r="AZ99" s="2">
        <v>0</v>
      </c>
      <c r="BA99" s="2" t="s">
        <v>36</v>
      </c>
    </row>
    <row r="100" spans="37:53" x14ac:dyDescent="0.3">
      <c r="AK100" s="2" t="s">
        <v>21</v>
      </c>
      <c r="AL100" s="2">
        <v>0</v>
      </c>
      <c r="AM100" s="2">
        <v>-0.82</v>
      </c>
      <c r="AN100" s="2">
        <f t="shared" si="6"/>
        <v>-83.615399999999994</v>
      </c>
      <c r="AO100" s="2">
        <v>2736.59</v>
      </c>
      <c r="AP100" s="2">
        <f t="shared" si="7"/>
        <v>32.728301245942738</v>
      </c>
      <c r="AQ100" s="2">
        <v>5.65</v>
      </c>
      <c r="AR100" s="2">
        <f t="shared" si="8"/>
        <v>576.13049999999998</v>
      </c>
      <c r="AS100" s="2">
        <v>-2413</v>
      </c>
      <c r="AT100" s="1" t="str">
        <f t="shared" si="9"/>
        <v>Compresión no aplica</v>
      </c>
      <c r="AU100" s="2">
        <v>881.1</v>
      </c>
      <c r="AV100" s="1">
        <f t="shared" si="10"/>
        <v>1.5293410086777215</v>
      </c>
      <c r="AW100" s="2">
        <v>1.22</v>
      </c>
      <c r="AX100" s="3">
        <f t="shared" si="11"/>
        <v>-83.615399999999994</v>
      </c>
      <c r="AY100" s="2">
        <v>-0.01</v>
      </c>
      <c r="AZ100" s="2">
        <v>0</v>
      </c>
      <c r="BA100" s="2" t="s">
        <v>22</v>
      </c>
    </row>
    <row r="101" spans="37:53" x14ac:dyDescent="0.3">
      <c r="AK101" s="2" t="s">
        <v>21</v>
      </c>
      <c r="AL101" s="2">
        <v>0</v>
      </c>
      <c r="AM101" s="2">
        <v>0.71</v>
      </c>
      <c r="AN101" s="2">
        <f t="shared" si="6"/>
        <v>72.398699999999991</v>
      </c>
      <c r="AO101" s="2">
        <v>2736.59</v>
      </c>
      <c r="AP101" s="2">
        <f t="shared" si="7"/>
        <v>37.798883129116966</v>
      </c>
      <c r="AQ101" s="2">
        <v>-0.31</v>
      </c>
      <c r="AR101" s="2">
        <f t="shared" si="8"/>
        <v>-31.610699999999998</v>
      </c>
      <c r="AS101" s="2">
        <v>-2413</v>
      </c>
      <c r="AT101" s="1">
        <f t="shared" si="9"/>
        <v>76.33491191273842</v>
      </c>
      <c r="AU101" s="2">
        <v>881.1</v>
      </c>
      <c r="AV101" s="1" t="str">
        <f t="shared" si="10"/>
        <v>Tensión no aplica</v>
      </c>
      <c r="AW101" s="2">
        <v>-1.05</v>
      </c>
      <c r="AX101" s="3">
        <f t="shared" si="11"/>
        <v>72.398699999999991</v>
      </c>
      <c r="AY101" s="2">
        <v>0.02</v>
      </c>
      <c r="AZ101" s="2">
        <v>0</v>
      </c>
      <c r="BA101" s="2" t="s">
        <v>23</v>
      </c>
    </row>
    <row r="102" spans="37:53" x14ac:dyDescent="0.3">
      <c r="AK102" s="2" t="s">
        <v>21</v>
      </c>
      <c r="AL102" s="2">
        <v>0</v>
      </c>
      <c r="AM102" s="2">
        <v>-3.79</v>
      </c>
      <c r="AN102" s="2">
        <f t="shared" si="6"/>
        <v>-386.46629999999999</v>
      </c>
      <c r="AO102" s="2">
        <v>2736.59</v>
      </c>
      <c r="AP102" s="2">
        <f t="shared" si="7"/>
        <v>7.0810572616551566</v>
      </c>
      <c r="AQ102" s="2">
        <v>4.66</v>
      </c>
      <c r="AR102" s="2">
        <f t="shared" si="8"/>
        <v>475.18020000000001</v>
      </c>
      <c r="AS102" s="2">
        <v>-2413</v>
      </c>
      <c r="AT102" s="1" t="str">
        <f t="shared" si="9"/>
        <v>Compresión no aplica</v>
      </c>
      <c r="AU102" s="2">
        <v>881.1</v>
      </c>
      <c r="AV102" s="1">
        <f t="shared" si="10"/>
        <v>1.8542439268302846</v>
      </c>
      <c r="AW102" s="2">
        <v>5.66</v>
      </c>
      <c r="AX102" s="3">
        <f t="shared" si="11"/>
        <v>-386.46629999999999</v>
      </c>
      <c r="AY102" s="2">
        <v>0</v>
      </c>
      <c r="AZ102" s="2">
        <v>0</v>
      </c>
      <c r="BA102" s="2" t="s">
        <v>24</v>
      </c>
    </row>
    <row r="103" spans="37:53" x14ac:dyDescent="0.3">
      <c r="AK103" s="2" t="s">
        <v>21</v>
      </c>
      <c r="AL103" s="2">
        <v>0</v>
      </c>
      <c r="AM103" s="2">
        <v>3.25</v>
      </c>
      <c r="AN103" s="2">
        <f t="shared" si="6"/>
        <v>331.40249999999997</v>
      </c>
      <c r="AO103" s="2">
        <v>2736.59</v>
      </c>
      <c r="AP103" s="2">
        <f t="shared" si="7"/>
        <v>8.2576021605147822</v>
      </c>
      <c r="AQ103" s="2">
        <v>0.57999999999999996</v>
      </c>
      <c r="AR103" s="2">
        <f t="shared" si="8"/>
        <v>59.142599999999995</v>
      </c>
      <c r="AS103" s="2">
        <v>-2413</v>
      </c>
      <c r="AT103" s="1" t="str">
        <f t="shared" si="9"/>
        <v>Compresión no aplica</v>
      </c>
      <c r="AU103" s="2">
        <v>881.1</v>
      </c>
      <c r="AV103" s="1">
        <f t="shared" si="10"/>
        <v>14.897890860395046</v>
      </c>
      <c r="AW103" s="2">
        <v>-4.8499999999999996</v>
      </c>
      <c r="AX103" s="3">
        <f t="shared" si="11"/>
        <v>331.40249999999997</v>
      </c>
      <c r="AY103" s="2">
        <v>0.02</v>
      </c>
      <c r="AZ103" s="2">
        <v>0</v>
      </c>
      <c r="BA103" s="2" t="s">
        <v>25</v>
      </c>
    </row>
    <row r="104" spans="37:53" x14ac:dyDescent="0.3">
      <c r="AK104" s="2" t="s">
        <v>21</v>
      </c>
      <c r="AL104" s="2">
        <v>0</v>
      </c>
      <c r="AM104" s="2">
        <v>-0.82</v>
      </c>
      <c r="AN104" s="2">
        <f t="shared" si="6"/>
        <v>-83.615399999999994</v>
      </c>
      <c r="AO104" s="2">
        <v>2736.59</v>
      </c>
      <c r="AP104" s="2">
        <f t="shared" si="7"/>
        <v>32.728301245942738</v>
      </c>
      <c r="AQ104" s="2">
        <v>4.66</v>
      </c>
      <c r="AR104" s="2">
        <f t="shared" si="8"/>
        <v>475.18020000000001</v>
      </c>
      <c r="AS104" s="2">
        <v>-2413</v>
      </c>
      <c r="AT104" s="1" t="str">
        <f t="shared" si="9"/>
        <v>Compresión no aplica</v>
      </c>
      <c r="AU104" s="2">
        <v>881.1</v>
      </c>
      <c r="AV104" s="1">
        <f t="shared" si="10"/>
        <v>1.8542439268302846</v>
      </c>
      <c r="AW104" s="2">
        <v>1.22</v>
      </c>
      <c r="AX104" s="3">
        <f t="shared" si="11"/>
        <v>-83.615399999999994</v>
      </c>
      <c r="AY104" s="2">
        <v>-0.01</v>
      </c>
      <c r="AZ104" s="2">
        <v>0</v>
      </c>
      <c r="BA104" s="2" t="s">
        <v>26</v>
      </c>
    </row>
    <row r="105" spans="37:53" x14ac:dyDescent="0.3">
      <c r="AK105" s="2" t="s">
        <v>21</v>
      </c>
      <c r="AL105" s="2">
        <v>0</v>
      </c>
      <c r="AM105" s="2">
        <v>0.71</v>
      </c>
      <c r="AN105" s="2">
        <f t="shared" si="6"/>
        <v>72.398699999999991</v>
      </c>
      <c r="AO105" s="2">
        <v>2736.59</v>
      </c>
      <c r="AP105" s="2">
        <f t="shared" si="7"/>
        <v>37.798883129116966</v>
      </c>
      <c r="AQ105" s="2">
        <v>-1.3</v>
      </c>
      <c r="AR105" s="2">
        <f t="shared" si="8"/>
        <v>-132.56100000000001</v>
      </c>
      <c r="AS105" s="2">
        <v>-2413</v>
      </c>
      <c r="AT105" s="1">
        <f t="shared" si="9"/>
        <v>18.202940533037619</v>
      </c>
      <c r="AU105" s="2">
        <v>881.1</v>
      </c>
      <c r="AV105" s="1" t="str">
        <f t="shared" si="10"/>
        <v>Tensión no aplica</v>
      </c>
      <c r="AW105" s="2">
        <v>-1.05</v>
      </c>
      <c r="AX105" s="3">
        <f t="shared" si="11"/>
        <v>72.398699999999991</v>
      </c>
      <c r="AY105" s="2">
        <v>0.02</v>
      </c>
      <c r="AZ105" s="2">
        <v>0</v>
      </c>
      <c r="BA105" s="2" t="s">
        <v>27</v>
      </c>
    </row>
    <row r="106" spans="37:53" x14ac:dyDescent="0.3">
      <c r="AK106" s="2" t="s">
        <v>21</v>
      </c>
      <c r="AL106" s="2">
        <v>0</v>
      </c>
      <c r="AM106" s="2">
        <v>-3.79</v>
      </c>
      <c r="AN106" s="2">
        <f t="shared" si="6"/>
        <v>-386.46629999999999</v>
      </c>
      <c r="AO106" s="2">
        <v>2736.59</v>
      </c>
      <c r="AP106" s="2">
        <f t="shared" si="7"/>
        <v>7.0810572616551566</v>
      </c>
      <c r="AQ106" s="2">
        <v>3.66</v>
      </c>
      <c r="AR106" s="2">
        <f t="shared" si="8"/>
        <v>373.21019999999999</v>
      </c>
      <c r="AS106" s="2">
        <v>-2413</v>
      </c>
      <c r="AT106" s="1" t="str">
        <f t="shared" si="9"/>
        <v>Compresión no aplica</v>
      </c>
      <c r="AU106" s="2">
        <v>881.1</v>
      </c>
      <c r="AV106" s="1">
        <f t="shared" si="10"/>
        <v>2.3608679505544061</v>
      </c>
      <c r="AW106" s="2">
        <v>5.66</v>
      </c>
      <c r="AX106" s="3">
        <f t="shared" si="11"/>
        <v>-386.46629999999999</v>
      </c>
      <c r="AY106" s="2">
        <v>-0.01</v>
      </c>
      <c r="AZ106" s="2">
        <v>0</v>
      </c>
      <c r="BA106" s="2" t="s">
        <v>28</v>
      </c>
    </row>
    <row r="107" spans="37:53" x14ac:dyDescent="0.3">
      <c r="AK107" s="2" t="s">
        <v>21</v>
      </c>
      <c r="AL107" s="2">
        <v>0</v>
      </c>
      <c r="AM107" s="2">
        <v>3.25</v>
      </c>
      <c r="AN107" s="2">
        <f t="shared" si="6"/>
        <v>331.40249999999997</v>
      </c>
      <c r="AO107" s="2">
        <v>2736.59</v>
      </c>
      <c r="AP107" s="2">
        <f t="shared" si="7"/>
        <v>8.2576021605147822</v>
      </c>
      <c r="AQ107" s="2">
        <v>-0.41</v>
      </c>
      <c r="AR107" s="2">
        <f t="shared" si="8"/>
        <v>-41.807699999999997</v>
      </c>
      <c r="AS107" s="2">
        <v>-2413</v>
      </c>
      <c r="AT107" s="1">
        <f t="shared" si="9"/>
        <v>57.716640714509531</v>
      </c>
      <c r="AU107" s="2">
        <v>881.1</v>
      </c>
      <c r="AV107" s="1" t="str">
        <f t="shared" si="10"/>
        <v>Tensión no aplica</v>
      </c>
      <c r="AW107" s="2">
        <v>-4.8499999999999996</v>
      </c>
      <c r="AX107" s="3">
        <f t="shared" si="11"/>
        <v>331.40249999999997</v>
      </c>
      <c r="AY107" s="2">
        <v>0.02</v>
      </c>
      <c r="AZ107" s="2">
        <v>0</v>
      </c>
      <c r="BA107" s="2" t="s">
        <v>29</v>
      </c>
    </row>
    <row r="108" spans="37:53" x14ac:dyDescent="0.3">
      <c r="AK108" s="2" t="s">
        <v>21</v>
      </c>
      <c r="AL108" s="2">
        <v>0</v>
      </c>
      <c r="AM108" s="2">
        <v>0</v>
      </c>
      <c r="AN108" s="2">
        <v>1.0000000000000001E-5</v>
      </c>
      <c r="AO108" s="2">
        <v>2736.59</v>
      </c>
      <c r="AP108" s="2">
        <f t="shared" si="7"/>
        <v>273659000</v>
      </c>
      <c r="AQ108" s="2">
        <v>2.48</v>
      </c>
      <c r="AR108" s="2">
        <f t="shared" si="8"/>
        <v>252.88559999999998</v>
      </c>
      <c r="AS108" s="2">
        <v>-2413</v>
      </c>
      <c r="AT108" s="1" t="str">
        <f t="shared" si="9"/>
        <v>Compresión no aplica</v>
      </c>
      <c r="AU108" s="2">
        <v>881.1</v>
      </c>
      <c r="AV108" s="1">
        <f t="shared" si="10"/>
        <v>3.4841841528343256</v>
      </c>
      <c r="AW108" s="2">
        <v>0</v>
      </c>
      <c r="AX108" s="3">
        <f t="shared" si="11"/>
        <v>0</v>
      </c>
      <c r="AY108" s="2">
        <v>0.01</v>
      </c>
      <c r="AZ108" s="2">
        <v>0</v>
      </c>
      <c r="BA108" s="2" t="s">
        <v>30</v>
      </c>
    </row>
    <row r="109" spans="37:53" x14ac:dyDescent="0.3">
      <c r="AK109" s="2" t="s">
        <v>21</v>
      </c>
      <c r="AL109" s="2">
        <v>0</v>
      </c>
      <c r="AM109" s="2">
        <v>-0.38</v>
      </c>
      <c r="AN109" s="2">
        <f t="shared" si="6"/>
        <v>-38.748600000000003</v>
      </c>
      <c r="AO109" s="2">
        <v>2736.59</v>
      </c>
      <c r="AP109" s="2">
        <f t="shared" si="7"/>
        <v>70.624229004402736</v>
      </c>
      <c r="AQ109" s="2">
        <v>2.73</v>
      </c>
      <c r="AR109" s="2">
        <f t="shared" si="8"/>
        <v>278.37810000000002</v>
      </c>
      <c r="AS109" s="2">
        <v>-2413</v>
      </c>
      <c r="AT109" s="1" t="str">
        <f t="shared" si="9"/>
        <v>Compresión no aplica</v>
      </c>
      <c r="AU109" s="2">
        <v>881.1</v>
      </c>
      <c r="AV109" s="1">
        <f t="shared" si="10"/>
        <v>3.1651196699740387</v>
      </c>
      <c r="AW109" s="2">
        <v>0.56000000000000005</v>
      </c>
      <c r="AX109" s="3">
        <f t="shared" si="11"/>
        <v>-38.748600000000003</v>
      </c>
      <c r="AY109" s="2">
        <v>0.01</v>
      </c>
      <c r="AZ109" s="2">
        <v>0</v>
      </c>
      <c r="BA109" s="2" t="s">
        <v>31</v>
      </c>
    </row>
    <row r="110" spans="37:53" x14ac:dyDescent="0.3">
      <c r="AK110" s="2" t="s">
        <v>21</v>
      </c>
      <c r="AL110" s="2">
        <v>0</v>
      </c>
      <c r="AM110" s="2">
        <v>-0.38</v>
      </c>
      <c r="AN110" s="2">
        <f t="shared" si="6"/>
        <v>-38.748600000000003</v>
      </c>
      <c r="AO110" s="2">
        <v>2736.59</v>
      </c>
      <c r="AP110" s="2">
        <f t="shared" si="7"/>
        <v>70.624229004402736</v>
      </c>
      <c r="AQ110" s="2">
        <v>1.74</v>
      </c>
      <c r="AR110" s="2">
        <f t="shared" si="8"/>
        <v>177.42779999999999</v>
      </c>
      <c r="AS110" s="2">
        <v>-2413</v>
      </c>
      <c r="AT110" s="1" t="str">
        <f t="shared" si="9"/>
        <v>Compresión no aplica</v>
      </c>
      <c r="AU110" s="2">
        <v>881.1</v>
      </c>
      <c r="AV110" s="1">
        <f t="shared" si="10"/>
        <v>4.9659636201316824</v>
      </c>
      <c r="AW110" s="2">
        <v>0.56000000000000005</v>
      </c>
      <c r="AX110" s="3">
        <f t="shared" si="11"/>
        <v>-38.748600000000003</v>
      </c>
      <c r="AY110" s="2">
        <v>0</v>
      </c>
      <c r="AZ110" s="2">
        <v>0</v>
      </c>
      <c r="BA110" s="2" t="s">
        <v>32</v>
      </c>
    </row>
    <row r="111" spans="37:53" x14ac:dyDescent="0.3">
      <c r="AK111" s="2" t="s">
        <v>21</v>
      </c>
      <c r="AL111" s="2">
        <v>0</v>
      </c>
      <c r="AM111" s="2">
        <v>-0.61</v>
      </c>
      <c r="AN111" s="2">
        <f t="shared" si="6"/>
        <v>-62.201699999999995</v>
      </c>
      <c r="AO111" s="2">
        <v>2736.59</v>
      </c>
      <c r="AP111" s="2">
        <f t="shared" si="7"/>
        <v>43.995421347004992</v>
      </c>
      <c r="AQ111" s="2">
        <v>4.8600000000000003</v>
      </c>
      <c r="AR111" s="2">
        <f t="shared" si="8"/>
        <v>495.57420000000002</v>
      </c>
      <c r="AS111" s="2">
        <v>-2413</v>
      </c>
      <c r="AT111" s="1" t="str">
        <f t="shared" si="9"/>
        <v>Compresión no aplica</v>
      </c>
      <c r="AU111" s="2">
        <v>881.1</v>
      </c>
      <c r="AV111" s="1">
        <f t="shared" si="10"/>
        <v>1.7779375923928242</v>
      </c>
      <c r="AW111" s="2">
        <v>0.92</v>
      </c>
      <c r="AX111" s="3">
        <f t="shared" si="11"/>
        <v>-62.201699999999995</v>
      </c>
      <c r="AY111" s="2">
        <v>-0.01</v>
      </c>
      <c r="AZ111" s="2">
        <v>0</v>
      </c>
      <c r="BA111" s="2" t="s">
        <v>33</v>
      </c>
    </row>
    <row r="112" spans="37:53" x14ac:dyDescent="0.3">
      <c r="AK112" s="2" t="s">
        <v>21</v>
      </c>
      <c r="AL112" s="2">
        <v>0</v>
      </c>
      <c r="AM112" s="2">
        <v>0.53</v>
      </c>
      <c r="AN112" s="2">
        <f t="shared" si="6"/>
        <v>54.0441</v>
      </c>
      <c r="AO112" s="2">
        <v>2736.59</v>
      </c>
      <c r="AP112" s="2">
        <f t="shared" si="7"/>
        <v>50.636239663534042</v>
      </c>
      <c r="AQ112" s="2">
        <v>0.39</v>
      </c>
      <c r="AR112" s="2">
        <f t="shared" si="8"/>
        <v>39.768300000000004</v>
      </c>
      <c r="AS112" s="2">
        <v>-2413</v>
      </c>
      <c r="AT112" s="1" t="str">
        <f t="shared" si="9"/>
        <v>Compresión no aplica</v>
      </c>
      <c r="AU112" s="2">
        <v>881.1</v>
      </c>
      <c r="AV112" s="1">
        <f t="shared" si="10"/>
        <v>22.15583768981827</v>
      </c>
      <c r="AW112" s="2">
        <v>-0.79</v>
      </c>
      <c r="AX112" s="3">
        <f t="shared" si="11"/>
        <v>54.0441</v>
      </c>
      <c r="AY112" s="2">
        <v>0.02</v>
      </c>
      <c r="AZ112" s="2">
        <v>0</v>
      </c>
      <c r="BA112" s="2" t="s">
        <v>34</v>
      </c>
    </row>
    <row r="113" spans="37:53" x14ac:dyDescent="0.3">
      <c r="AK113" s="2" t="s">
        <v>21</v>
      </c>
      <c r="AL113" s="2">
        <v>0</v>
      </c>
      <c r="AM113" s="2">
        <v>-2.84</v>
      </c>
      <c r="AN113" s="2">
        <f t="shared" si="6"/>
        <v>-289.59479999999996</v>
      </c>
      <c r="AO113" s="2">
        <v>2736.59</v>
      </c>
      <c r="AP113" s="2">
        <f t="shared" si="7"/>
        <v>9.4497207822792415</v>
      </c>
      <c r="AQ113" s="2">
        <v>4.1100000000000003</v>
      </c>
      <c r="AR113" s="2">
        <f t="shared" si="8"/>
        <v>419.09670000000006</v>
      </c>
      <c r="AS113" s="2">
        <v>-2413</v>
      </c>
      <c r="AT113" s="1" t="str">
        <f t="shared" si="9"/>
        <v>Compresión no aplica</v>
      </c>
      <c r="AU113" s="2">
        <v>881.1</v>
      </c>
      <c r="AV113" s="1">
        <f t="shared" si="10"/>
        <v>2.1023787588878649</v>
      </c>
      <c r="AW113" s="2">
        <v>4.25</v>
      </c>
      <c r="AX113" s="3">
        <f t="shared" si="11"/>
        <v>-289.59479999999996</v>
      </c>
      <c r="AY113" s="2">
        <v>0</v>
      </c>
      <c r="AZ113" s="2">
        <v>0</v>
      </c>
      <c r="BA113" s="2" t="s">
        <v>35</v>
      </c>
    </row>
    <row r="114" spans="37:53" x14ac:dyDescent="0.3">
      <c r="AK114" s="2" t="s">
        <v>21</v>
      </c>
      <c r="AL114" s="2">
        <v>0</v>
      </c>
      <c r="AM114" s="2">
        <v>2.4300000000000002</v>
      </c>
      <c r="AN114" s="2">
        <f t="shared" si="6"/>
        <v>247.78710000000001</v>
      </c>
      <c r="AO114" s="2">
        <v>2736.59</v>
      </c>
      <c r="AP114" s="2">
        <f t="shared" si="7"/>
        <v>11.044118115914833</v>
      </c>
      <c r="AQ114" s="2">
        <v>1.06</v>
      </c>
      <c r="AR114" s="2">
        <f t="shared" si="8"/>
        <v>108.0882</v>
      </c>
      <c r="AS114" s="2">
        <v>-2413</v>
      </c>
      <c r="AT114" s="1" t="str">
        <f t="shared" si="9"/>
        <v>Compresión no aplica</v>
      </c>
      <c r="AU114" s="2">
        <v>881.1</v>
      </c>
      <c r="AV114" s="1">
        <f t="shared" si="10"/>
        <v>8.1516761311595527</v>
      </c>
      <c r="AW114" s="2">
        <v>-3.64</v>
      </c>
      <c r="AX114" s="3">
        <f t="shared" si="11"/>
        <v>247.78710000000001</v>
      </c>
      <c r="AY114" s="2">
        <v>0.02</v>
      </c>
      <c r="AZ114" s="2">
        <v>0</v>
      </c>
      <c r="BA114" s="2" t="s">
        <v>36</v>
      </c>
    </row>
    <row r="115" spans="37:53" x14ac:dyDescent="0.3">
      <c r="AK115" s="2" t="s">
        <v>21</v>
      </c>
      <c r="AL115" s="2">
        <v>0</v>
      </c>
      <c r="AM115" s="2">
        <v>-0.86</v>
      </c>
      <c r="AN115" s="2">
        <f t="shared" si="6"/>
        <v>-87.694199999999995</v>
      </c>
      <c r="AO115" s="2">
        <v>2736.59</v>
      </c>
      <c r="AP115" s="2">
        <f t="shared" si="7"/>
        <v>31.206054676364005</v>
      </c>
      <c r="AQ115" s="2">
        <v>5.5</v>
      </c>
      <c r="AR115" s="2">
        <f t="shared" si="8"/>
        <v>560.83500000000004</v>
      </c>
      <c r="AS115" s="2">
        <v>-2413</v>
      </c>
      <c r="AT115" s="1" t="str">
        <f t="shared" si="9"/>
        <v>Compresión no aplica</v>
      </c>
      <c r="AU115" s="2">
        <v>881.1</v>
      </c>
      <c r="AV115" s="1">
        <f t="shared" si="10"/>
        <v>1.5710503089143866</v>
      </c>
      <c r="AW115" s="2">
        <v>1.29</v>
      </c>
      <c r="AX115" s="3">
        <f t="shared" si="11"/>
        <v>-87.694199999999995</v>
      </c>
      <c r="AY115" s="2">
        <v>0.02</v>
      </c>
      <c r="AZ115" s="2">
        <v>0</v>
      </c>
      <c r="BA115" s="2" t="s">
        <v>22</v>
      </c>
    </row>
    <row r="116" spans="37:53" x14ac:dyDescent="0.3">
      <c r="AK116" s="2" t="s">
        <v>21</v>
      </c>
      <c r="AL116" s="2">
        <v>0</v>
      </c>
      <c r="AM116" s="2">
        <v>0.76</v>
      </c>
      <c r="AN116" s="2">
        <f t="shared" si="6"/>
        <v>77.497200000000007</v>
      </c>
      <c r="AO116" s="2">
        <v>2736.59</v>
      </c>
      <c r="AP116" s="2">
        <f t="shared" si="7"/>
        <v>35.312114502201368</v>
      </c>
      <c r="AQ116" s="2">
        <v>-0.49</v>
      </c>
      <c r="AR116" s="2">
        <f t="shared" si="8"/>
        <v>-49.965299999999999</v>
      </c>
      <c r="AS116" s="2">
        <v>-2413</v>
      </c>
      <c r="AT116" s="1">
        <f t="shared" si="9"/>
        <v>48.293515699895728</v>
      </c>
      <c r="AU116" s="2">
        <v>881.1</v>
      </c>
      <c r="AV116" s="1" t="str">
        <f t="shared" si="10"/>
        <v>Tensión no aplica</v>
      </c>
      <c r="AW116" s="2">
        <v>-1.1399999999999999</v>
      </c>
      <c r="AX116" s="3">
        <f t="shared" si="11"/>
        <v>77.497200000000007</v>
      </c>
      <c r="AY116" s="2">
        <v>-0.01</v>
      </c>
      <c r="AZ116" s="2">
        <v>0</v>
      </c>
      <c r="BA116" s="2" t="s">
        <v>23</v>
      </c>
    </row>
    <row r="117" spans="37:53" x14ac:dyDescent="0.3">
      <c r="AK117" s="2" t="s">
        <v>21</v>
      </c>
      <c r="AL117" s="2">
        <v>0</v>
      </c>
      <c r="AM117" s="2">
        <v>-3.82</v>
      </c>
      <c r="AN117" s="2">
        <f t="shared" si="6"/>
        <v>-389.52539999999999</v>
      </c>
      <c r="AO117" s="2">
        <v>2736.59</v>
      </c>
      <c r="AP117" s="2">
        <f t="shared" si="7"/>
        <v>7.0254468643123147</v>
      </c>
      <c r="AQ117" s="2">
        <v>4.5</v>
      </c>
      <c r="AR117" s="2">
        <f t="shared" si="8"/>
        <v>458.86500000000001</v>
      </c>
      <c r="AS117" s="2">
        <v>-2413</v>
      </c>
      <c r="AT117" s="1" t="str">
        <f t="shared" si="9"/>
        <v>Compresión no aplica</v>
      </c>
      <c r="AU117" s="2">
        <v>881.1</v>
      </c>
      <c r="AV117" s="1">
        <f t="shared" si="10"/>
        <v>1.9201725997842503</v>
      </c>
      <c r="AW117" s="2">
        <v>5.72</v>
      </c>
      <c r="AX117" s="3">
        <f t="shared" si="11"/>
        <v>-389.52539999999999</v>
      </c>
      <c r="AY117" s="2">
        <v>0.02</v>
      </c>
      <c r="AZ117" s="2">
        <v>0</v>
      </c>
      <c r="BA117" s="2" t="s">
        <v>24</v>
      </c>
    </row>
    <row r="118" spans="37:53" x14ac:dyDescent="0.3">
      <c r="AK118" s="2" t="s">
        <v>21</v>
      </c>
      <c r="AL118" s="2">
        <v>0</v>
      </c>
      <c r="AM118" s="2">
        <v>3.3</v>
      </c>
      <c r="AN118" s="2">
        <f t="shared" si="6"/>
        <v>336.50099999999998</v>
      </c>
      <c r="AO118" s="2">
        <v>2736.59</v>
      </c>
      <c r="AP118" s="2">
        <f t="shared" si="7"/>
        <v>8.1324869762645591</v>
      </c>
      <c r="AQ118" s="2">
        <v>0.41</v>
      </c>
      <c r="AR118" s="2">
        <f t="shared" si="8"/>
        <v>41.807699999999997</v>
      </c>
      <c r="AS118" s="2">
        <v>-2413</v>
      </c>
      <c r="AT118" s="1" t="str">
        <f t="shared" si="9"/>
        <v>Compresión no aplica</v>
      </c>
      <c r="AU118" s="2">
        <v>881.1</v>
      </c>
      <c r="AV118" s="1">
        <f t="shared" si="10"/>
        <v>21.075065119583236</v>
      </c>
      <c r="AW118" s="2">
        <v>-4.93</v>
      </c>
      <c r="AX118" s="3">
        <f t="shared" si="11"/>
        <v>336.50099999999998</v>
      </c>
      <c r="AY118" s="2">
        <v>0</v>
      </c>
      <c r="AZ118" s="2">
        <v>0</v>
      </c>
      <c r="BA118" s="2" t="s">
        <v>25</v>
      </c>
    </row>
    <row r="119" spans="37:53" x14ac:dyDescent="0.3">
      <c r="AK119" s="2" t="s">
        <v>21</v>
      </c>
      <c r="AL119" s="2">
        <v>0</v>
      </c>
      <c r="AM119" s="2">
        <v>-0.86</v>
      </c>
      <c r="AN119" s="2">
        <f t="shared" si="6"/>
        <v>-87.694199999999995</v>
      </c>
      <c r="AO119" s="2">
        <v>2736.59</v>
      </c>
      <c r="AP119" s="2">
        <f t="shared" si="7"/>
        <v>31.206054676364005</v>
      </c>
      <c r="AQ119" s="2">
        <v>4.58</v>
      </c>
      <c r="AR119" s="2">
        <f t="shared" si="8"/>
        <v>467.02260000000001</v>
      </c>
      <c r="AS119" s="2">
        <v>-2413</v>
      </c>
      <c r="AT119" s="1" t="str">
        <f t="shared" si="9"/>
        <v>Compresión no aplica</v>
      </c>
      <c r="AU119" s="2">
        <v>881.1</v>
      </c>
      <c r="AV119" s="1">
        <f t="shared" si="10"/>
        <v>1.8866324670369272</v>
      </c>
      <c r="AW119" s="2">
        <v>1.29</v>
      </c>
      <c r="AX119" s="3">
        <f t="shared" si="11"/>
        <v>-87.694199999999995</v>
      </c>
      <c r="AY119" s="2">
        <v>0.02</v>
      </c>
      <c r="AZ119" s="2">
        <v>0</v>
      </c>
      <c r="BA119" s="2" t="s">
        <v>26</v>
      </c>
    </row>
    <row r="120" spans="37:53" x14ac:dyDescent="0.3">
      <c r="AK120" s="2" t="s">
        <v>21</v>
      </c>
      <c r="AL120" s="2">
        <v>0</v>
      </c>
      <c r="AM120" s="2">
        <v>0.76</v>
      </c>
      <c r="AN120" s="2">
        <f t="shared" si="6"/>
        <v>77.497200000000007</v>
      </c>
      <c r="AO120" s="2">
        <v>2736.59</v>
      </c>
      <c r="AP120" s="2">
        <f t="shared" si="7"/>
        <v>35.312114502201368</v>
      </c>
      <c r="AQ120" s="2">
        <v>-1.42</v>
      </c>
      <c r="AR120" s="2">
        <f t="shared" si="8"/>
        <v>-144.79739999999998</v>
      </c>
      <c r="AS120" s="2">
        <v>-2413</v>
      </c>
      <c r="AT120" s="1">
        <f t="shared" si="9"/>
        <v>16.66466386827388</v>
      </c>
      <c r="AU120" s="2">
        <v>881.1</v>
      </c>
      <c r="AV120" s="1" t="str">
        <f t="shared" si="10"/>
        <v>Tensión no aplica</v>
      </c>
      <c r="AW120" s="2">
        <v>-1.1399999999999999</v>
      </c>
      <c r="AX120" s="3">
        <f t="shared" si="11"/>
        <v>77.497200000000007</v>
      </c>
      <c r="AY120" s="2">
        <v>-0.01</v>
      </c>
      <c r="AZ120" s="2">
        <v>0</v>
      </c>
      <c r="BA120" s="2" t="s">
        <v>27</v>
      </c>
    </row>
    <row r="121" spans="37:53" x14ac:dyDescent="0.3">
      <c r="AK121" s="2" t="s">
        <v>21</v>
      </c>
      <c r="AL121" s="2">
        <v>0</v>
      </c>
      <c r="AM121" s="2">
        <v>-3.82</v>
      </c>
      <c r="AN121" s="2">
        <f t="shared" si="6"/>
        <v>-389.52539999999999</v>
      </c>
      <c r="AO121" s="2">
        <v>2736.59</v>
      </c>
      <c r="AP121" s="2">
        <f t="shared" si="7"/>
        <v>7.0254468643123147</v>
      </c>
      <c r="AQ121" s="2">
        <v>3.58</v>
      </c>
      <c r="AR121" s="2">
        <f t="shared" si="8"/>
        <v>365.05259999999998</v>
      </c>
      <c r="AS121" s="2">
        <v>-2413</v>
      </c>
      <c r="AT121" s="1" t="str">
        <f t="shared" si="9"/>
        <v>Compresión no aplica</v>
      </c>
      <c r="AU121" s="2">
        <v>881.1</v>
      </c>
      <c r="AV121" s="1">
        <f t="shared" si="10"/>
        <v>2.4136247762651193</v>
      </c>
      <c r="AW121" s="2">
        <v>5.72</v>
      </c>
      <c r="AX121" s="3">
        <f t="shared" si="11"/>
        <v>-389.52539999999999</v>
      </c>
      <c r="AY121" s="2">
        <v>0.01</v>
      </c>
      <c r="AZ121" s="2">
        <v>0</v>
      </c>
      <c r="BA121" s="2" t="s">
        <v>28</v>
      </c>
    </row>
    <row r="122" spans="37:53" x14ac:dyDescent="0.3">
      <c r="AK122" s="2" t="s">
        <v>21</v>
      </c>
      <c r="AL122" s="2">
        <v>0</v>
      </c>
      <c r="AM122" s="2">
        <v>3.3</v>
      </c>
      <c r="AN122" s="2">
        <f t="shared" si="6"/>
        <v>336.50099999999998</v>
      </c>
      <c r="AO122" s="2">
        <v>2736.59</v>
      </c>
      <c r="AP122" s="2">
        <f t="shared" si="7"/>
        <v>8.1324869762645591</v>
      </c>
      <c r="AQ122" s="2">
        <v>-0.52</v>
      </c>
      <c r="AR122" s="2">
        <f t="shared" si="8"/>
        <v>-53.0244</v>
      </c>
      <c r="AS122" s="2">
        <v>-2413</v>
      </c>
      <c r="AT122" s="1">
        <f t="shared" si="9"/>
        <v>45.507351332594048</v>
      </c>
      <c r="AU122" s="2">
        <v>881.1</v>
      </c>
      <c r="AV122" s="1" t="str">
        <f t="shared" si="10"/>
        <v>Tensión no aplica</v>
      </c>
      <c r="AW122" s="2">
        <v>-4.93</v>
      </c>
      <c r="AX122" s="3">
        <f t="shared" si="11"/>
        <v>336.50099999999998</v>
      </c>
      <c r="AY122" s="2">
        <v>-0.01</v>
      </c>
      <c r="AZ122" s="2">
        <v>0</v>
      </c>
      <c r="BA122" s="2" t="s">
        <v>29</v>
      </c>
    </row>
    <row r="123" spans="37:53" x14ac:dyDescent="0.3">
      <c r="AK123" s="2" t="s">
        <v>21</v>
      </c>
      <c r="AL123" s="2">
        <v>0</v>
      </c>
      <c r="AM123" s="2">
        <v>0</v>
      </c>
      <c r="AN123" s="2">
        <v>1.0000000000000001E-5</v>
      </c>
      <c r="AO123" s="2">
        <v>2736.59</v>
      </c>
      <c r="AP123" s="2">
        <f t="shared" si="7"/>
        <v>273659000</v>
      </c>
      <c r="AQ123" s="2">
        <v>2.31</v>
      </c>
      <c r="AR123" s="2">
        <f t="shared" si="8"/>
        <v>235.55070000000001</v>
      </c>
      <c r="AS123" s="2">
        <v>-2413</v>
      </c>
      <c r="AT123" s="1" t="str">
        <f t="shared" si="9"/>
        <v>Compresión no aplica</v>
      </c>
      <c r="AU123" s="2">
        <v>881.1</v>
      </c>
      <c r="AV123" s="1">
        <f t="shared" si="10"/>
        <v>3.7405959736056822</v>
      </c>
      <c r="AW123" s="2">
        <v>0</v>
      </c>
      <c r="AX123" s="3">
        <f t="shared" si="11"/>
        <v>0</v>
      </c>
      <c r="AY123" s="2">
        <v>0.01</v>
      </c>
      <c r="AZ123" s="2">
        <v>0</v>
      </c>
      <c r="BA123" s="2" t="s">
        <v>30</v>
      </c>
    </row>
    <row r="124" spans="37:53" x14ac:dyDescent="0.3">
      <c r="AK124" s="2" t="s">
        <v>21</v>
      </c>
      <c r="AL124" s="2">
        <v>0</v>
      </c>
      <c r="AM124" s="2">
        <v>-0.38</v>
      </c>
      <c r="AN124" s="2">
        <f t="shared" si="6"/>
        <v>-38.748600000000003</v>
      </c>
      <c r="AO124" s="2">
        <v>2736.59</v>
      </c>
      <c r="AP124" s="2">
        <f t="shared" si="7"/>
        <v>70.624229004402736</v>
      </c>
      <c r="AQ124" s="2">
        <v>2.56</v>
      </c>
      <c r="AR124" s="2">
        <f t="shared" si="8"/>
        <v>261.04320000000001</v>
      </c>
      <c r="AS124" s="2">
        <v>-2413</v>
      </c>
      <c r="AT124" s="1" t="str">
        <f t="shared" si="9"/>
        <v>Compresión no aplica</v>
      </c>
      <c r="AU124" s="2">
        <v>881.1</v>
      </c>
      <c r="AV124" s="1">
        <f t="shared" si="10"/>
        <v>3.3753033980582523</v>
      </c>
      <c r="AW124" s="2">
        <v>0.56000000000000005</v>
      </c>
      <c r="AX124" s="3">
        <f t="shared" si="11"/>
        <v>-38.748600000000003</v>
      </c>
      <c r="AY124" s="2">
        <v>0.01</v>
      </c>
      <c r="AZ124" s="2">
        <v>0</v>
      </c>
      <c r="BA124" s="2" t="s">
        <v>31</v>
      </c>
    </row>
    <row r="125" spans="37:53" x14ac:dyDescent="0.3">
      <c r="AK125" s="2" t="s">
        <v>21</v>
      </c>
      <c r="AL125" s="2">
        <v>0</v>
      </c>
      <c r="AM125" s="2">
        <v>-0.38</v>
      </c>
      <c r="AN125" s="2">
        <f t="shared" si="6"/>
        <v>-38.748600000000003</v>
      </c>
      <c r="AO125" s="2">
        <v>2736.59</v>
      </c>
      <c r="AP125" s="2">
        <f t="shared" si="7"/>
        <v>70.624229004402736</v>
      </c>
      <c r="AQ125" s="2">
        <v>1.64</v>
      </c>
      <c r="AR125" s="2">
        <f t="shared" si="8"/>
        <v>167.23079999999999</v>
      </c>
      <c r="AS125" s="2">
        <v>-2413</v>
      </c>
      <c r="AT125" s="1" t="str">
        <f t="shared" si="9"/>
        <v>Compresión no aplica</v>
      </c>
      <c r="AU125" s="2">
        <v>881.1</v>
      </c>
      <c r="AV125" s="1">
        <f t="shared" si="10"/>
        <v>5.268766279895809</v>
      </c>
      <c r="AW125" s="2">
        <v>0.56000000000000005</v>
      </c>
      <c r="AX125" s="3">
        <f t="shared" si="11"/>
        <v>-38.748600000000003</v>
      </c>
      <c r="AY125" s="2">
        <v>0</v>
      </c>
      <c r="AZ125" s="2">
        <v>0</v>
      </c>
      <c r="BA125" s="2" t="s">
        <v>32</v>
      </c>
    </row>
    <row r="126" spans="37:53" x14ac:dyDescent="0.3">
      <c r="AK126" s="2" t="s">
        <v>21</v>
      </c>
      <c r="AL126" s="2">
        <v>0</v>
      </c>
      <c r="AM126" s="2">
        <v>-0.65</v>
      </c>
      <c r="AN126" s="2">
        <f t="shared" si="6"/>
        <v>-66.280500000000004</v>
      </c>
      <c r="AO126" s="2">
        <v>2736.59</v>
      </c>
      <c r="AP126" s="2">
        <f t="shared" si="7"/>
        <v>41.288010802573908</v>
      </c>
      <c r="AQ126" s="2">
        <v>4.7</v>
      </c>
      <c r="AR126" s="2">
        <f t="shared" si="8"/>
        <v>479.25900000000001</v>
      </c>
      <c r="AS126" s="2">
        <v>-2413</v>
      </c>
      <c r="AT126" s="1" t="str">
        <f t="shared" si="9"/>
        <v>Compresión no aplica</v>
      </c>
      <c r="AU126" s="2">
        <v>881.1</v>
      </c>
      <c r="AV126" s="1">
        <f t="shared" si="10"/>
        <v>1.8384631274530057</v>
      </c>
      <c r="AW126" s="2">
        <v>0.97</v>
      </c>
      <c r="AX126" s="3">
        <f t="shared" si="11"/>
        <v>-66.280500000000004</v>
      </c>
      <c r="AY126" s="2">
        <v>0.02</v>
      </c>
      <c r="AZ126" s="2">
        <v>0</v>
      </c>
      <c r="BA126" s="2" t="s">
        <v>33</v>
      </c>
    </row>
    <row r="127" spans="37:53" x14ac:dyDescent="0.3">
      <c r="AK127" s="2" t="s">
        <v>21</v>
      </c>
      <c r="AL127" s="2">
        <v>0</v>
      </c>
      <c r="AM127" s="2">
        <v>0.56999999999999995</v>
      </c>
      <c r="AN127" s="2">
        <f t="shared" si="6"/>
        <v>58.122899999999994</v>
      </c>
      <c r="AO127" s="2">
        <v>2736.59</v>
      </c>
      <c r="AP127" s="2">
        <f t="shared" si="7"/>
        <v>47.0828193362685</v>
      </c>
      <c r="AQ127" s="2">
        <v>0.21</v>
      </c>
      <c r="AR127" s="2">
        <f t="shared" si="8"/>
        <v>21.413699999999999</v>
      </c>
      <c r="AS127" s="2">
        <v>-2413</v>
      </c>
      <c r="AT127" s="1" t="str">
        <f t="shared" si="9"/>
        <v>Compresión no aplica</v>
      </c>
      <c r="AU127" s="2">
        <v>881.1</v>
      </c>
      <c r="AV127" s="1">
        <f t="shared" si="10"/>
        <v>41.146555709662508</v>
      </c>
      <c r="AW127" s="2">
        <v>-0.85</v>
      </c>
      <c r="AX127" s="3">
        <f t="shared" si="11"/>
        <v>58.122899999999994</v>
      </c>
      <c r="AY127" s="2">
        <v>0</v>
      </c>
      <c r="AZ127" s="2">
        <v>0</v>
      </c>
      <c r="BA127" s="2" t="s">
        <v>34</v>
      </c>
    </row>
    <row r="128" spans="37:53" x14ac:dyDescent="0.3">
      <c r="AK128" s="2" t="s">
        <v>21</v>
      </c>
      <c r="AL128" s="2">
        <v>0</v>
      </c>
      <c r="AM128" s="2">
        <v>-2.87</v>
      </c>
      <c r="AN128" s="2">
        <f t="shared" si="6"/>
        <v>-292.65390000000002</v>
      </c>
      <c r="AO128" s="2">
        <v>2736.59</v>
      </c>
      <c r="AP128" s="2">
        <f t="shared" si="7"/>
        <v>9.3509432131264951</v>
      </c>
      <c r="AQ128" s="2">
        <v>3.96</v>
      </c>
      <c r="AR128" s="2">
        <f t="shared" si="8"/>
        <v>403.80119999999999</v>
      </c>
      <c r="AS128" s="2">
        <v>-2413</v>
      </c>
      <c r="AT128" s="1" t="str">
        <f t="shared" si="9"/>
        <v>Compresión no aplica</v>
      </c>
      <c r="AU128" s="2">
        <v>881.1</v>
      </c>
      <c r="AV128" s="1">
        <f t="shared" si="10"/>
        <v>2.1820143179366482</v>
      </c>
      <c r="AW128" s="2">
        <v>4.29</v>
      </c>
      <c r="AX128" s="3">
        <f t="shared" si="11"/>
        <v>-292.65390000000002</v>
      </c>
      <c r="AY128" s="2">
        <v>0.01</v>
      </c>
      <c r="AZ128" s="2">
        <v>0</v>
      </c>
      <c r="BA128" s="2" t="s">
        <v>35</v>
      </c>
    </row>
    <row r="129" spans="37:53" x14ac:dyDescent="0.3">
      <c r="AK129" s="2" t="s">
        <v>21</v>
      </c>
      <c r="AL129" s="2">
        <v>0</v>
      </c>
      <c r="AM129" s="2">
        <v>2.4700000000000002</v>
      </c>
      <c r="AN129" s="2">
        <f t="shared" si="6"/>
        <v>251.86590000000001</v>
      </c>
      <c r="AO129" s="2">
        <v>2736.59</v>
      </c>
      <c r="AP129" s="2">
        <f t="shared" si="7"/>
        <v>10.865266000677344</v>
      </c>
      <c r="AQ129" s="2">
        <v>0.88</v>
      </c>
      <c r="AR129" s="2">
        <f t="shared" si="8"/>
        <v>89.733599999999996</v>
      </c>
      <c r="AS129" s="2">
        <v>-2413</v>
      </c>
      <c r="AT129" s="1" t="str">
        <f t="shared" si="9"/>
        <v>Compresión no aplica</v>
      </c>
      <c r="AU129" s="2">
        <v>881.1</v>
      </c>
      <c r="AV129" s="1">
        <f t="shared" si="10"/>
        <v>9.8190644307149171</v>
      </c>
      <c r="AW129" s="2">
        <v>-3.7</v>
      </c>
      <c r="AX129" s="3">
        <f t="shared" si="11"/>
        <v>251.86590000000001</v>
      </c>
      <c r="AY129" s="2">
        <v>0</v>
      </c>
      <c r="AZ129" s="2">
        <v>0</v>
      </c>
      <c r="BA129" s="2" t="s">
        <v>36</v>
      </c>
    </row>
    <row r="130" spans="37:53" x14ac:dyDescent="0.3">
      <c r="AK130" s="2" t="s">
        <v>21</v>
      </c>
      <c r="AL130" s="2">
        <v>0</v>
      </c>
      <c r="AM130" s="2">
        <v>-0.88</v>
      </c>
      <c r="AN130" s="2">
        <f t="shared" si="6"/>
        <v>-89.733599999999996</v>
      </c>
      <c r="AO130" s="2">
        <v>2736.59</v>
      </c>
      <c r="AP130" s="2">
        <f t="shared" si="7"/>
        <v>30.496826160992097</v>
      </c>
      <c r="AQ130" s="2">
        <v>5.62</v>
      </c>
      <c r="AR130" s="2">
        <f t="shared" si="8"/>
        <v>573.07140000000004</v>
      </c>
      <c r="AS130" s="2">
        <v>-2413</v>
      </c>
      <c r="AT130" s="1" t="str">
        <f t="shared" si="9"/>
        <v>Compresión no aplica</v>
      </c>
      <c r="AU130" s="2">
        <v>881.1</v>
      </c>
      <c r="AV130" s="1">
        <f t="shared" si="10"/>
        <v>1.5375047507169264</v>
      </c>
      <c r="AW130" s="2">
        <v>1.32</v>
      </c>
      <c r="AX130" s="3">
        <f t="shared" si="11"/>
        <v>-89.733599999999996</v>
      </c>
      <c r="AY130" s="2">
        <v>-0.04</v>
      </c>
      <c r="AZ130" s="2">
        <v>0</v>
      </c>
      <c r="BA130" s="2" t="s">
        <v>22</v>
      </c>
    </row>
    <row r="131" spans="37:53" x14ac:dyDescent="0.3">
      <c r="AK131" s="2" t="s">
        <v>21</v>
      </c>
      <c r="AL131" s="2">
        <v>0</v>
      </c>
      <c r="AM131" s="2">
        <v>0.78</v>
      </c>
      <c r="AN131" s="2">
        <f t="shared" si="6"/>
        <v>79.536600000000007</v>
      </c>
      <c r="AO131" s="2">
        <v>2736.59</v>
      </c>
      <c r="AP131" s="2">
        <f t="shared" si="7"/>
        <v>34.406675668811587</v>
      </c>
      <c r="AQ131" s="2">
        <v>-0.48</v>
      </c>
      <c r="AR131" s="2">
        <f t="shared" si="8"/>
        <v>-48.945599999999999</v>
      </c>
      <c r="AS131" s="2">
        <v>-2413</v>
      </c>
      <c r="AT131" s="1">
        <f t="shared" si="9"/>
        <v>49.299630610310224</v>
      </c>
      <c r="AU131" s="2">
        <v>881.1</v>
      </c>
      <c r="AV131" s="1" t="str">
        <f t="shared" si="10"/>
        <v>Tensión no aplica</v>
      </c>
      <c r="AW131" s="2">
        <v>-1.1599999999999999</v>
      </c>
      <c r="AX131" s="3">
        <f t="shared" si="11"/>
        <v>79.536600000000007</v>
      </c>
      <c r="AY131" s="2">
        <v>0.01</v>
      </c>
      <c r="AZ131" s="2">
        <v>0</v>
      </c>
      <c r="BA131" s="2" t="s">
        <v>23</v>
      </c>
    </row>
    <row r="132" spans="37:53" x14ac:dyDescent="0.3">
      <c r="AK132" s="2" t="s">
        <v>21</v>
      </c>
      <c r="AL132" s="2">
        <v>0</v>
      </c>
      <c r="AM132" s="2">
        <v>-3.95</v>
      </c>
      <c r="AN132" s="2">
        <f t="shared" si="6"/>
        <v>-402.78149999999999</v>
      </c>
      <c r="AO132" s="2">
        <v>2736.59</v>
      </c>
      <c r="AP132" s="2">
        <f t="shared" si="7"/>
        <v>6.7942296257400105</v>
      </c>
      <c r="AQ132" s="2">
        <v>4.5999999999999996</v>
      </c>
      <c r="AR132" s="2">
        <f t="shared" si="8"/>
        <v>469.06199999999995</v>
      </c>
      <c r="AS132" s="2">
        <v>-2413</v>
      </c>
      <c r="AT132" s="1" t="str">
        <f t="shared" si="9"/>
        <v>Compresión no aplica</v>
      </c>
      <c r="AU132" s="2">
        <v>881.1</v>
      </c>
      <c r="AV132" s="1">
        <f t="shared" si="10"/>
        <v>1.8784297171802451</v>
      </c>
      <c r="AW132" s="2">
        <v>5.91</v>
      </c>
      <c r="AX132" s="3">
        <f t="shared" si="11"/>
        <v>-402.78149999999999</v>
      </c>
      <c r="AY132" s="2">
        <v>-0.03</v>
      </c>
      <c r="AZ132" s="2">
        <v>0</v>
      </c>
      <c r="BA132" s="2" t="s">
        <v>24</v>
      </c>
    </row>
    <row r="133" spans="37:53" x14ac:dyDescent="0.3">
      <c r="AK133" s="2" t="s">
        <v>21</v>
      </c>
      <c r="AL133" s="2">
        <v>0</v>
      </c>
      <c r="AM133" s="2">
        <v>3.4</v>
      </c>
      <c r="AN133" s="2">
        <f t="shared" si="6"/>
        <v>346.69799999999998</v>
      </c>
      <c r="AO133" s="2">
        <v>2736.59</v>
      </c>
      <c r="AP133" s="2">
        <f t="shared" si="7"/>
        <v>7.8932961828450132</v>
      </c>
      <c r="AQ133" s="2">
        <v>0.43</v>
      </c>
      <c r="AR133" s="2">
        <f t="shared" si="8"/>
        <v>43.847099999999998</v>
      </c>
      <c r="AS133" s="2">
        <v>-2413</v>
      </c>
      <c r="AT133" s="1" t="str">
        <f t="shared" si="9"/>
        <v>Compresión no aplica</v>
      </c>
      <c r="AU133" s="2">
        <v>881.1</v>
      </c>
      <c r="AV133" s="1">
        <f t="shared" si="10"/>
        <v>20.094829532625877</v>
      </c>
      <c r="AW133" s="2">
        <v>-5.09</v>
      </c>
      <c r="AX133" s="3">
        <f t="shared" si="11"/>
        <v>346.69799999999998</v>
      </c>
      <c r="AY133" s="2">
        <v>0</v>
      </c>
      <c r="AZ133" s="2">
        <v>0</v>
      </c>
      <c r="BA133" s="2" t="s">
        <v>25</v>
      </c>
    </row>
    <row r="134" spans="37:53" x14ac:dyDescent="0.3">
      <c r="AK134" s="2" t="s">
        <v>21</v>
      </c>
      <c r="AL134" s="2">
        <v>0</v>
      </c>
      <c r="AM134" s="2">
        <v>-0.88</v>
      </c>
      <c r="AN134" s="2">
        <f t="shared" si="6"/>
        <v>-89.733599999999996</v>
      </c>
      <c r="AO134" s="2">
        <v>2736.59</v>
      </c>
      <c r="AP134" s="2">
        <f t="shared" si="7"/>
        <v>30.496826160992097</v>
      </c>
      <c r="AQ134" s="2">
        <v>4.67</v>
      </c>
      <c r="AR134" s="2">
        <f t="shared" si="8"/>
        <v>476.19990000000001</v>
      </c>
      <c r="AS134" s="2">
        <v>-2413</v>
      </c>
      <c r="AT134" s="1" t="str">
        <f t="shared" si="9"/>
        <v>Compresión no aplica</v>
      </c>
      <c r="AU134" s="2">
        <v>881.1</v>
      </c>
      <c r="AV134" s="1">
        <f t="shared" si="10"/>
        <v>1.8502733830897486</v>
      </c>
      <c r="AW134" s="2">
        <v>1.32</v>
      </c>
      <c r="AX134" s="3">
        <f t="shared" si="11"/>
        <v>-89.733599999999996</v>
      </c>
      <c r="AY134" s="2">
        <v>-0.03</v>
      </c>
      <c r="AZ134" s="2">
        <v>0</v>
      </c>
      <c r="BA134" s="2" t="s">
        <v>26</v>
      </c>
    </row>
    <row r="135" spans="37:53" x14ac:dyDescent="0.3">
      <c r="AK135" s="2" t="s">
        <v>21</v>
      </c>
      <c r="AL135" s="2">
        <v>0</v>
      </c>
      <c r="AM135" s="2">
        <v>0.78</v>
      </c>
      <c r="AN135" s="2">
        <f t="shared" si="6"/>
        <v>79.536600000000007</v>
      </c>
      <c r="AO135" s="2">
        <v>2736.59</v>
      </c>
      <c r="AP135" s="2">
        <f t="shared" si="7"/>
        <v>34.406675668811587</v>
      </c>
      <c r="AQ135" s="2">
        <v>-1.43</v>
      </c>
      <c r="AR135" s="2">
        <f t="shared" si="8"/>
        <v>-145.81709999999998</v>
      </c>
      <c r="AS135" s="2">
        <v>-2413</v>
      </c>
      <c r="AT135" s="1">
        <f t="shared" si="9"/>
        <v>16.548127757306929</v>
      </c>
      <c r="AU135" s="2">
        <v>881.1</v>
      </c>
      <c r="AV135" s="1" t="str">
        <f t="shared" si="10"/>
        <v>Tensión no aplica</v>
      </c>
      <c r="AW135" s="2">
        <v>-1.1599999999999999</v>
      </c>
      <c r="AX135" s="3">
        <f t="shared" si="11"/>
        <v>79.536600000000007</v>
      </c>
      <c r="AY135" s="2">
        <v>0.01</v>
      </c>
      <c r="AZ135" s="2">
        <v>0</v>
      </c>
      <c r="BA135" s="2" t="s">
        <v>27</v>
      </c>
    </row>
    <row r="136" spans="37:53" x14ac:dyDescent="0.3">
      <c r="AK136" s="2" t="s">
        <v>21</v>
      </c>
      <c r="AL136" s="2">
        <v>0</v>
      </c>
      <c r="AM136" s="2">
        <v>-3.95</v>
      </c>
      <c r="AN136" s="2">
        <f t="shared" si="6"/>
        <v>-402.78149999999999</v>
      </c>
      <c r="AO136" s="2">
        <v>2736.59</v>
      </c>
      <c r="AP136" s="2">
        <f t="shared" si="7"/>
        <v>6.7942296257400105</v>
      </c>
      <c r="AQ136" s="2">
        <v>3.65</v>
      </c>
      <c r="AR136" s="2">
        <f t="shared" si="8"/>
        <v>372.19049999999999</v>
      </c>
      <c r="AS136" s="2">
        <v>-2413</v>
      </c>
      <c r="AT136" s="1" t="str">
        <f t="shared" si="9"/>
        <v>Compresión no aplica</v>
      </c>
      <c r="AU136" s="2">
        <v>881.1</v>
      </c>
      <c r="AV136" s="1">
        <f t="shared" si="10"/>
        <v>2.3673360819257883</v>
      </c>
      <c r="AW136" s="2">
        <v>5.91</v>
      </c>
      <c r="AX136" s="3">
        <f t="shared" si="11"/>
        <v>-402.78149999999999</v>
      </c>
      <c r="AY136" s="2">
        <v>-0.03</v>
      </c>
      <c r="AZ136" s="2">
        <v>0</v>
      </c>
      <c r="BA136" s="2" t="s">
        <v>28</v>
      </c>
    </row>
    <row r="137" spans="37:53" x14ac:dyDescent="0.3">
      <c r="AK137" s="2" t="s">
        <v>21</v>
      </c>
      <c r="AL137" s="2">
        <v>0</v>
      </c>
      <c r="AM137" s="2">
        <v>3.4</v>
      </c>
      <c r="AN137" s="2">
        <f t="shared" si="6"/>
        <v>346.69799999999998</v>
      </c>
      <c r="AO137" s="2">
        <v>2736.59</v>
      </c>
      <c r="AP137" s="2">
        <f t="shared" si="7"/>
        <v>7.8932961828450132</v>
      </c>
      <c r="AQ137" s="2">
        <v>-0.52</v>
      </c>
      <c r="AR137" s="2">
        <f t="shared" si="8"/>
        <v>-53.0244</v>
      </c>
      <c r="AS137" s="2">
        <v>-2413</v>
      </c>
      <c r="AT137" s="1">
        <f t="shared" si="9"/>
        <v>45.507351332594048</v>
      </c>
      <c r="AU137" s="2">
        <v>881.1</v>
      </c>
      <c r="AV137" s="1" t="str">
        <f t="shared" si="10"/>
        <v>Tensión no aplica</v>
      </c>
      <c r="AW137" s="2">
        <v>-5.09</v>
      </c>
      <c r="AX137" s="3">
        <f t="shared" si="11"/>
        <v>346.69799999999998</v>
      </c>
      <c r="AY137" s="2">
        <v>0.01</v>
      </c>
      <c r="AZ137" s="2">
        <v>0</v>
      </c>
      <c r="BA137" s="2" t="s">
        <v>29</v>
      </c>
    </row>
    <row r="138" spans="37:53" x14ac:dyDescent="0.3">
      <c r="AK138" s="2" t="s">
        <v>21</v>
      </c>
      <c r="AL138" s="2">
        <v>0</v>
      </c>
      <c r="AM138" s="2">
        <v>0</v>
      </c>
      <c r="AN138" s="2">
        <f t="shared" si="6"/>
        <v>0</v>
      </c>
      <c r="AO138" s="2">
        <v>2736.59</v>
      </c>
      <c r="AP138" s="2" t="e">
        <f t="shared" si="7"/>
        <v>#DIV/0!</v>
      </c>
      <c r="AQ138" s="2">
        <v>2.37</v>
      </c>
      <c r="AR138" s="2">
        <f t="shared" si="8"/>
        <v>241.66890000000001</v>
      </c>
      <c r="AS138" s="2">
        <v>-2413</v>
      </c>
      <c r="AT138" s="1" t="str">
        <f t="shared" si="9"/>
        <v>Compresión no aplica</v>
      </c>
      <c r="AU138" s="2">
        <v>881.1</v>
      </c>
      <c r="AV138" s="1">
        <f t="shared" si="10"/>
        <v>3.6458973413625007</v>
      </c>
      <c r="AW138" s="2">
        <v>0</v>
      </c>
      <c r="AX138" s="3">
        <f t="shared" si="11"/>
        <v>0</v>
      </c>
      <c r="AY138" s="2">
        <v>-0.02</v>
      </c>
      <c r="AZ138" s="2">
        <v>0</v>
      </c>
      <c r="BA138" s="2" t="s">
        <v>30</v>
      </c>
    </row>
    <row r="139" spans="37:53" x14ac:dyDescent="0.3">
      <c r="AK139" s="2" t="s">
        <v>21</v>
      </c>
      <c r="AL139" s="2">
        <v>0</v>
      </c>
      <c r="AM139" s="2">
        <v>-0.39</v>
      </c>
      <c r="AN139" s="2">
        <f t="shared" ref="AN139:AN159" si="12">AM139*101.97</f>
        <v>-39.768300000000004</v>
      </c>
      <c r="AO139" s="2">
        <v>2736.59</v>
      </c>
      <c r="AP139" s="2">
        <f t="shared" ref="AP139:AP159" si="13">ABS(AO139/AN139)</f>
        <v>68.813351337623175</v>
      </c>
      <c r="AQ139" s="2">
        <v>2.63</v>
      </c>
      <c r="AR139" s="2">
        <f t="shared" ref="AR139:AR159" si="14">AQ139*101.97</f>
        <v>268.18109999999996</v>
      </c>
      <c r="AS139" s="2">
        <v>-2413</v>
      </c>
      <c r="AT139" s="1" t="str">
        <f t="shared" ref="AT139:AT159" si="15">IF(AS139/AR139&gt;=0,AS139/AR139, "Compresión no aplica")</f>
        <v>Compresión no aplica</v>
      </c>
      <c r="AU139" s="2">
        <v>881.1</v>
      </c>
      <c r="AV139" s="1">
        <f t="shared" ref="AV139:AV159" si="16">IF(AU139/AR139&gt;=0,AU139/AR139, "Tensión no aplica")</f>
        <v>3.2854664254863604</v>
      </c>
      <c r="AW139" s="2">
        <v>0.57999999999999996</v>
      </c>
      <c r="AX139" s="3">
        <f t="shared" ref="AX139:AX159" si="17">AM139*101.97</f>
        <v>-39.768300000000004</v>
      </c>
      <c r="AY139" s="2">
        <v>-0.02</v>
      </c>
      <c r="AZ139" s="2">
        <v>0</v>
      </c>
      <c r="BA139" s="2" t="s">
        <v>31</v>
      </c>
    </row>
    <row r="140" spans="37:53" x14ac:dyDescent="0.3">
      <c r="AK140" s="2" t="s">
        <v>21</v>
      </c>
      <c r="AL140" s="2">
        <v>0</v>
      </c>
      <c r="AM140" s="2">
        <v>-0.39</v>
      </c>
      <c r="AN140" s="2">
        <f t="shared" si="12"/>
        <v>-39.768300000000004</v>
      </c>
      <c r="AO140" s="2">
        <v>2736.59</v>
      </c>
      <c r="AP140" s="2">
        <f t="shared" si="13"/>
        <v>68.813351337623175</v>
      </c>
      <c r="AQ140" s="2">
        <v>1.68</v>
      </c>
      <c r="AR140" s="2">
        <f t="shared" si="14"/>
        <v>171.30959999999999</v>
      </c>
      <c r="AS140" s="2">
        <v>-2413</v>
      </c>
      <c r="AT140" s="1" t="str">
        <f t="shared" si="15"/>
        <v>Compresión no aplica</v>
      </c>
      <c r="AU140" s="2">
        <v>881.1</v>
      </c>
      <c r="AV140" s="1">
        <f t="shared" si="16"/>
        <v>5.1433194637078135</v>
      </c>
      <c r="AW140" s="2">
        <v>0.57999999999999996</v>
      </c>
      <c r="AX140" s="3">
        <f t="shared" si="17"/>
        <v>-39.768300000000004</v>
      </c>
      <c r="AY140" s="2">
        <v>-0.01</v>
      </c>
      <c r="AZ140" s="2">
        <v>0</v>
      </c>
      <c r="BA140" s="2" t="s">
        <v>32</v>
      </c>
    </row>
    <row r="141" spans="37:53" x14ac:dyDescent="0.3">
      <c r="AK141" s="2" t="s">
        <v>21</v>
      </c>
      <c r="AL141" s="2">
        <v>0</v>
      </c>
      <c r="AM141" s="2">
        <v>-0.66</v>
      </c>
      <c r="AN141" s="2">
        <f t="shared" si="12"/>
        <v>-67.300200000000004</v>
      </c>
      <c r="AO141" s="2">
        <v>2736.59</v>
      </c>
      <c r="AP141" s="2">
        <f t="shared" si="13"/>
        <v>40.662434881322788</v>
      </c>
      <c r="AQ141" s="2">
        <v>4.8099999999999996</v>
      </c>
      <c r="AR141" s="2">
        <f t="shared" si="14"/>
        <v>490.47569999999996</v>
      </c>
      <c r="AS141" s="2">
        <v>-2413</v>
      </c>
      <c r="AT141" s="1" t="str">
        <f t="shared" si="15"/>
        <v>Compresión no aplica</v>
      </c>
      <c r="AU141" s="2">
        <v>881.1</v>
      </c>
      <c r="AV141" s="1">
        <f t="shared" si="16"/>
        <v>1.7964192721474277</v>
      </c>
      <c r="AW141" s="2">
        <v>0.99</v>
      </c>
      <c r="AX141" s="3">
        <f t="shared" si="17"/>
        <v>-67.300200000000004</v>
      </c>
      <c r="AY141" s="2">
        <v>-0.03</v>
      </c>
      <c r="AZ141" s="2">
        <v>0</v>
      </c>
      <c r="BA141" s="2" t="s">
        <v>33</v>
      </c>
    </row>
    <row r="142" spans="37:53" x14ac:dyDescent="0.3">
      <c r="AK142" s="2" t="s">
        <v>21</v>
      </c>
      <c r="AL142" s="2">
        <v>0</v>
      </c>
      <c r="AM142" s="2">
        <v>0.57999999999999996</v>
      </c>
      <c r="AN142" s="2">
        <f t="shared" si="12"/>
        <v>59.142599999999995</v>
      </c>
      <c r="AO142" s="2">
        <v>2736.59</v>
      </c>
      <c r="AP142" s="2">
        <f t="shared" si="13"/>
        <v>46.271046589091455</v>
      </c>
      <c r="AQ142" s="2">
        <v>0.23</v>
      </c>
      <c r="AR142" s="2">
        <f t="shared" si="14"/>
        <v>23.453099999999999</v>
      </c>
      <c r="AS142" s="2">
        <v>-2413</v>
      </c>
      <c r="AT142" s="1" t="str">
        <f t="shared" si="15"/>
        <v>Compresión no aplica</v>
      </c>
      <c r="AU142" s="2">
        <v>881.1</v>
      </c>
      <c r="AV142" s="1">
        <f t="shared" si="16"/>
        <v>37.5685943436049</v>
      </c>
      <c r="AW142" s="2">
        <v>-0.87</v>
      </c>
      <c r="AX142" s="3">
        <f t="shared" si="17"/>
        <v>59.142599999999995</v>
      </c>
      <c r="AY142" s="2">
        <v>0</v>
      </c>
      <c r="AZ142" s="2">
        <v>0</v>
      </c>
      <c r="BA142" s="2" t="s">
        <v>34</v>
      </c>
    </row>
    <row r="143" spans="37:53" x14ac:dyDescent="0.3">
      <c r="AK143" s="2" t="s">
        <v>21</v>
      </c>
      <c r="AL143" s="2">
        <v>0</v>
      </c>
      <c r="AM143" s="2">
        <v>-2.96</v>
      </c>
      <c r="AN143" s="2">
        <f t="shared" si="12"/>
        <v>-301.83119999999997</v>
      </c>
      <c r="AO143" s="2">
        <v>2736.59</v>
      </c>
      <c r="AP143" s="2">
        <f t="shared" si="13"/>
        <v>9.0666239938084612</v>
      </c>
      <c r="AQ143" s="2">
        <v>4.04</v>
      </c>
      <c r="AR143" s="2">
        <f t="shared" si="14"/>
        <v>411.9588</v>
      </c>
      <c r="AS143" s="2">
        <v>-2413</v>
      </c>
      <c r="AT143" s="1" t="str">
        <f t="shared" si="15"/>
        <v>Compresión no aplica</v>
      </c>
      <c r="AU143" s="2">
        <v>881.1</v>
      </c>
      <c r="AV143" s="1">
        <f t="shared" si="16"/>
        <v>2.138806113621071</v>
      </c>
      <c r="AW143" s="2">
        <v>4.43</v>
      </c>
      <c r="AX143" s="3">
        <f t="shared" si="17"/>
        <v>-301.83119999999997</v>
      </c>
      <c r="AY143" s="2">
        <v>-0.03</v>
      </c>
      <c r="AZ143" s="2">
        <v>0</v>
      </c>
      <c r="BA143" s="2" t="s">
        <v>35</v>
      </c>
    </row>
    <row r="144" spans="37:53" x14ac:dyDescent="0.3">
      <c r="AK144" s="2" t="s">
        <v>21</v>
      </c>
      <c r="AL144" s="2">
        <v>0</v>
      </c>
      <c r="AM144" s="2">
        <v>2.5499999999999998</v>
      </c>
      <c r="AN144" s="2">
        <f t="shared" si="12"/>
        <v>260.02349999999996</v>
      </c>
      <c r="AO144" s="2">
        <v>2736.59</v>
      </c>
      <c r="AP144" s="2">
        <f t="shared" si="13"/>
        <v>10.524394910460018</v>
      </c>
      <c r="AQ144" s="2">
        <v>0.92</v>
      </c>
      <c r="AR144" s="2">
        <f t="shared" si="14"/>
        <v>93.812399999999997</v>
      </c>
      <c r="AS144" s="2">
        <v>-2413</v>
      </c>
      <c r="AT144" s="1" t="str">
        <f t="shared" si="15"/>
        <v>Compresión no aplica</v>
      </c>
      <c r="AU144" s="2">
        <v>881.1</v>
      </c>
      <c r="AV144" s="1">
        <f t="shared" si="16"/>
        <v>9.392148585901225</v>
      </c>
      <c r="AW144" s="2">
        <v>-3.82</v>
      </c>
      <c r="AX144" s="3">
        <f t="shared" si="17"/>
        <v>260.02349999999996</v>
      </c>
      <c r="AY144" s="2">
        <v>0</v>
      </c>
      <c r="AZ144" s="2">
        <v>0</v>
      </c>
      <c r="BA144" s="2" t="s">
        <v>36</v>
      </c>
    </row>
    <row r="145" spans="37:53" x14ac:dyDescent="0.3">
      <c r="AK145" s="2" t="s">
        <v>21</v>
      </c>
      <c r="AL145" s="2">
        <v>0</v>
      </c>
      <c r="AM145" s="2">
        <v>-0.52</v>
      </c>
      <c r="AN145" s="2">
        <f t="shared" si="12"/>
        <v>-53.0244</v>
      </c>
      <c r="AO145" s="2">
        <v>2736.59</v>
      </c>
      <c r="AP145" s="2">
        <f t="shared" si="13"/>
        <v>51.610013503217388</v>
      </c>
      <c r="AQ145" s="2">
        <v>3.5</v>
      </c>
      <c r="AR145" s="2">
        <f t="shared" si="14"/>
        <v>356.89499999999998</v>
      </c>
      <c r="AS145" s="2">
        <v>-2413</v>
      </c>
      <c r="AT145" s="1" t="str">
        <f t="shared" si="15"/>
        <v>Compresión no aplica</v>
      </c>
      <c r="AU145" s="2">
        <v>881.1</v>
      </c>
      <c r="AV145" s="1">
        <f t="shared" si="16"/>
        <v>2.4687933425797506</v>
      </c>
      <c r="AW145" s="2">
        <v>0.78</v>
      </c>
      <c r="AX145" s="3">
        <f t="shared" si="17"/>
        <v>-53.0244</v>
      </c>
      <c r="AY145" s="2">
        <v>0.35</v>
      </c>
      <c r="AZ145" s="2">
        <v>0</v>
      </c>
      <c r="BA145" s="2" t="s">
        <v>22</v>
      </c>
    </row>
    <row r="146" spans="37:53" x14ac:dyDescent="0.3">
      <c r="AK146" s="2" t="s">
        <v>21</v>
      </c>
      <c r="AL146" s="2">
        <v>0</v>
      </c>
      <c r="AM146" s="2">
        <v>0.46</v>
      </c>
      <c r="AN146" s="2">
        <f t="shared" si="12"/>
        <v>46.906199999999998</v>
      </c>
      <c r="AO146" s="2">
        <v>2736.59</v>
      </c>
      <c r="AP146" s="2">
        <f t="shared" si="13"/>
        <v>58.341754394941397</v>
      </c>
      <c r="AQ146" s="2">
        <v>-0.24</v>
      </c>
      <c r="AR146" s="2">
        <f t="shared" si="14"/>
        <v>-24.472799999999999</v>
      </c>
      <c r="AS146" s="2">
        <v>-2413</v>
      </c>
      <c r="AT146" s="1">
        <f t="shared" si="15"/>
        <v>98.599261220620448</v>
      </c>
      <c r="AU146" s="2">
        <v>881.1</v>
      </c>
      <c r="AV146" s="1" t="str">
        <f t="shared" si="16"/>
        <v>Tensión no aplica</v>
      </c>
      <c r="AW146" s="2">
        <v>-0.69</v>
      </c>
      <c r="AX146" s="3">
        <f t="shared" si="17"/>
        <v>46.906199999999998</v>
      </c>
      <c r="AY146" s="2">
        <v>-0.04</v>
      </c>
      <c r="AZ146" s="2">
        <v>0</v>
      </c>
      <c r="BA146" s="2" t="s">
        <v>23</v>
      </c>
    </row>
    <row r="147" spans="37:53" x14ac:dyDescent="0.3">
      <c r="AK147" s="2" t="s">
        <v>21</v>
      </c>
      <c r="AL147" s="2">
        <v>0</v>
      </c>
      <c r="AM147" s="2">
        <v>-2.35</v>
      </c>
      <c r="AN147" s="2">
        <f t="shared" si="12"/>
        <v>-239.62950000000001</v>
      </c>
      <c r="AO147" s="2">
        <v>2736.59</v>
      </c>
      <c r="AP147" s="2">
        <f t="shared" si="13"/>
        <v>11.420088094328953</v>
      </c>
      <c r="AQ147" s="2">
        <v>2.88</v>
      </c>
      <c r="AR147" s="2">
        <f t="shared" si="14"/>
        <v>293.67359999999996</v>
      </c>
      <c r="AS147" s="2">
        <v>-2413</v>
      </c>
      <c r="AT147" s="1" t="str">
        <f t="shared" si="15"/>
        <v>Compresión no aplica</v>
      </c>
      <c r="AU147" s="2">
        <v>881.1</v>
      </c>
      <c r="AV147" s="1">
        <f t="shared" si="16"/>
        <v>3.0002696871628913</v>
      </c>
      <c r="AW147" s="2">
        <v>3.5</v>
      </c>
      <c r="AX147" s="3">
        <f t="shared" si="17"/>
        <v>-239.62950000000001</v>
      </c>
      <c r="AY147" s="2">
        <v>0.28999999999999998</v>
      </c>
      <c r="AZ147" s="2">
        <v>0</v>
      </c>
      <c r="BA147" s="2" t="s">
        <v>24</v>
      </c>
    </row>
    <row r="148" spans="37:53" x14ac:dyDescent="0.3">
      <c r="AK148" s="2" t="s">
        <v>21</v>
      </c>
      <c r="AL148" s="2">
        <v>0</v>
      </c>
      <c r="AM148" s="2">
        <v>2.02</v>
      </c>
      <c r="AN148" s="2">
        <f t="shared" si="12"/>
        <v>205.9794</v>
      </c>
      <c r="AO148" s="2">
        <v>2736.59</v>
      </c>
      <c r="AP148" s="2">
        <f t="shared" si="13"/>
        <v>13.28574605033319</v>
      </c>
      <c r="AQ148" s="2">
        <v>0.32</v>
      </c>
      <c r="AR148" s="2">
        <f t="shared" si="14"/>
        <v>32.630400000000002</v>
      </c>
      <c r="AS148" s="2">
        <v>-2413</v>
      </c>
      <c r="AT148" s="1" t="str">
        <f t="shared" si="15"/>
        <v>Compresión no aplica</v>
      </c>
      <c r="AU148" s="2">
        <v>881.1</v>
      </c>
      <c r="AV148" s="1">
        <f t="shared" si="16"/>
        <v>27.002427184466018</v>
      </c>
      <c r="AW148" s="2">
        <v>-3.02</v>
      </c>
      <c r="AX148" s="3">
        <f t="shared" si="17"/>
        <v>205.9794</v>
      </c>
      <c r="AY148" s="2">
        <v>0.02</v>
      </c>
      <c r="AZ148" s="2">
        <v>0</v>
      </c>
      <c r="BA148" s="2" t="s">
        <v>25</v>
      </c>
    </row>
    <row r="149" spans="37:53" x14ac:dyDescent="0.3">
      <c r="AK149" s="2" t="s">
        <v>21</v>
      </c>
      <c r="AL149" s="2">
        <v>0</v>
      </c>
      <c r="AM149" s="2">
        <v>-0.52</v>
      </c>
      <c r="AN149" s="2">
        <f t="shared" si="12"/>
        <v>-53.0244</v>
      </c>
      <c r="AO149" s="2">
        <v>2736.59</v>
      </c>
      <c r="AP149" s="2">
        <f t="shared" si="13"/>
        <v>51.610013503217388</v>
      </c>
      <c r="AQ149" s="2">
        <v>2.9</v>
      </c>
      <c r="AR149" s="2">
        <f t="shared" si="14"/>
        <v>295.71299999999997</v>
      </c>
      <c r="AS149" s="2">
        <v>-2413</v>
      </c>
      <c r="AT149" s="1" t="str">
        <f t="shared" si="15"/>
        <v>Compresión no aplica</v>
      </c>
      <c r="AU149" s="2">
        <v>881.1</v>
      </c>
      <c r="AV149" s="1">
        <f t="shared" si="16"/>
        <v>2.9795781720790093</v>
      </c>
      <c r="AW149" s="2">
        <v>0.78</v>
      </c>
      <c r="AX149" s="3">
        <f t="shared" si="17"/>
        <v>-53.0244</v>
      </c>
      <c r="AY149" s="2">
        <v>0.3</v>
      </c>
      <c r="AZ149" s="2">
        <v>0</v>
      </c>
      <c r="BA149" s="2" t="s">
        <v>26</v>
      </c>
    </row>
    <row r="150" spans="37:53" x14ac:dyDescent="0.3">
      <c r="AK150" s="2" t="s">
        <v>21</v>
      </c>
      <c r="AL150" s="2">
        <v>0</v>
      </c>
      <c r="AM150" s="2">
        <v>0.46</v>
      </c>
      <c r="AN150" s="2">
        <f t="shared" si="12"/>
        <v>46.906199999999998</v>
      </c>
      <c r="AO150" s="2">
        <v>2736.59</v>
      </c>
      <c r="AP150" s="2">
        <f t="shared" si="13"/>
        <v>58.341754394941397</v>
      </c>
      <c r="AQ150" s="2">
        <v>-0.84</v>
      </c>
      <c r="AR150" s="2">
        <f t="shared" si="14"/>
        <v>-85.654799999999994</v>
      </c>
      <c r="AS150" s="2">
        <v>-2413</v>
      </c>
      <c r="AT150" s="1">
        <f t="shared" si="15"/>
        <v>28.171217491605844</v>
      </c>
      <c r="AU150" s="2">
        <v>881.1</v>
      </c>
      <c r="AV150" s="1" t="str">
        <f t="shared" si="16"/>
        <v>Tensión no aplica</v>
      </c>
      <c r="AW150" s="2">
        <v>-0.69</v>
      </c>
      <c r="AX150" s="3">
        <f t="shared" si="17"/>
        <v>46.906199999999998</v>
      </c>
      <c r="AY150" s="2">
        <v>-0.1</v>
      </c>
      <c r="AZ150" s="2">
        <v>0</v>
      </c>
      <c r="BA150" s="2" t="s">
        <v>27</v>
      </c>
    </row>
    <row r="151" spans="37:53" x14ac:dyDescent="0.3">
      <c r="AK151" s="2" t="s">
        <v>21</v>
      </c>
      <c r="AL151" s="2">
        <v>0</v>
      </c>
      <c r="AM151" s="2">
        <v>-2.35</v>
      </c>
      <c r="AN151" s="2">
        <f t="shared" si="12"/>
        <v>-239.62950000000001</v>
      </c>
      <c r="AO151" s="2">
        <v>2736.59</v>
      </c>
      <c r="AP151" s="2">
        <f t="shared" si="13"/>
        <v>11.420088094328953</v>
      </c>
      <c r="AQ151" s="2">
        <v>2.27</v>
      </c>
      <c r="AR151" s="2">
        <f t="shared" si="14"/>
        <v>231.47190000000001</v>
      </c>
      <c r="AS151" s="2">
        <v>-2413</v>
      </c>
      <c r="AT151" s="1" t="str">
        <f t="shared" si="15"/>
        <v>Compresión no aplica</v>
      </c>
      <c r="AU151" s="2">
        <v>881.1</v>
      </c>
      <c r="AV151" s="1">
        <f t="shared" si="16"/>
        <v>3.8065095590436679</v>
      </c>
      <c r="AW151" s="2">
        <v>3.5</v>
      </c>
      <c r="AX151" s="3">
        <f t="shared" si="17"/>
        <v>-239.62950000000001</v>
      </c>
      <c r="AY151" s="2">
        <v>0.23</v>
      </c>
      <c r="AZ151" s="2">
        <v>0</v>
      </c>
      <c r="BA151" s="2" t="s">
        <v>28</v>
      </c>
    </row>
    <row r="152" spans="37:53" x14ac:dyDescent="0.3">
      <c r="AK152" s="2" t="s">
        <v>21</v>
      </c>
      <c r="AL152" s="2">
        <v>0</v>
      </c>
      <c r="AM152" s="2">
        <v>2.02</v>
      </c>
      <c r="AN152" s="2">
        <f t="shared" si="12"/>
        <v>205.9794</v>
      </c>
      <c r="AO152" s="2">
        <v>2736.59</v>
      </c>
      <c r="AP152" s="2">
        <f t="shared" si="13"/>
        <v>13.28574605033319</v>
      </c>
      <c r="AQ152" s="2">
        <v>-0.28000000000000003</v>
      </c>
      <c r="AR152" s="2">
        <f t="shared" si="14"/>
        <v>-28.551600000000004</v>
      </c>
      <c r="AS152" s="2">
        <v>-2413</v>
      </c>
      <c r="AT152" s="1">
        <f t="shared" si="15"/>
        <v>84.513652474817505</v>
      </c>
      <c r="AU152" s="2">
        <v>881.1</v>
      </c>
      <c r="AV152" s="1" t="str">
        <f t="shared" si="16"/>
        <v>Tensión no aplica</v>
      </c>
      <c r="AW152" s="2">
        <v>-3.02</v>
      </c>
      <c r="AX152" s="3">
        <f t="shared" si="17"/>
        <v>205.9794</v>
      </c>
      <c r="AY152" s="2">
        <v>-0.04</v>
      </c>
      <c r="AZ152" s="2">
        <v>0</v>
      </c>
      <c r="BA152" s="2" t="s">
        <v>29</v>
      </c>
    </row>
    <row r="153" spans="37:53" x14ac:dyDescent="0.3">
      <c r="AK153" s="2" t="s">
        <v>21</v>
      </c>
      <c r="AL153" s="2">
        <v>0</v>
      </c>
      <c r="AM153" s="2">
        <v>0</v>
      </c>
      <c r="AN153" s="2">
        <v>1.0000000000000001E-5</v>
      </c>
      <c r="AO153" s="2">
        <v>2736.59</v>
      </c>
      <c r="AP153" s="2">
        <f t="shared" si="13"/>
        <v>273659000</v>
      </c>
      <c r="AQ153" s="2">
        <v>1.51</v>
      </c>
      <c r="AR153" s="2">
        <f t="shared" si="14"/>
        <v>153.97470000000001</v>
      </c>
      <c r="AS153" s="2">
        <v>-2413</v>
      </c>
      <c r="AT153" s="1" t="str">
        <f t="shared" si="15"/>
        <v>Compresión no aplica</v>
      </c>
      <c r="AU153" s="2">
        <v>881.1</v>
      </c>
      <c r="AV153" s="1">
        <f t="shared" si="16"/>
        <v>5.7223686748537252</v>
      </c>
      <c r="AW153" s="2">
        <v>0</v>
      </c>
      <c r="AX153" s="3">
        <f t="shared" si="17"/>
        <v>0</v>
      </c>
      <c r="AY153" s="2">
        <v>0.14000000000000001</v>
      </c>
      <c r="AZ153" s="2">
        <v>0</v>
      </c>
      <c r="BA153" s="2" t="s">
        <v>30</v>
      </c>
    </row>
    <row r="154" spans="37:53" x14ac:dyDescent="0.3">
      <c r="AK154" s="2" t="s">
        <v>21</v>
      </c>
      <c r="AL154" s="2">
        <v>0</v>
      </c>
      <c r="AM154" s="2">
        <v>-0.23</v>
      </c>
      <c r="AN154" s="2">
        <f t="shared" si="12"/>
        <v>-23.453099999999999</v>
      </c>
      <c r="AO154" s="2">
        <v>2736.59</v>
      </c>
      <c r="AP154" s="2">
        <f t="shared" si="13"/>
        <v>116.68350878988279</v>
      </c>
      <c r="AQ154" s="2">
        <v>1.67</v>
      </c>
      <c r="AR154" s="2">
        <f t="shared" si="14"/>
        <v>170.28989999999999</v>
      </c>
      <c r="AS154" s="2">
        <v>-2413</v>
      </c>
      <c r="AT154" s="1" t="str">
        <f t="shared" si="15"/>
        <v>Compresión no aplica</v>
      </c>
      <c r="AU154" s="2">
        <v>881.1</v>
      </c>
      <c r="AV154" s="1">
        <f t="shared" si="16"/>
        <v>5.1741177838497769</v>
      </c>
      <c r="AW154" s="2">
        <v>0.35</v>
      </c>
      <c r="AX154" s="3">
        <f t="shared" si="17"/>
        <v>-23.453099999999999</v>
      </c>
      <c r="AY154" s="2">
        <v>0.16</v>
      </c>
      <c r="AZ154" s="2">
        <v>0</v>
      </c>
      <c r="BA154" s="2" t="s">
        <v>31</v>
      </c>
    </row>
    <row r="155" spans="37:53" x14ac:dyDescent="0.3">
      <c r="AK155" s="2" t="s">
        <v>21</v>
      </c>
      <c r="AL155" s="2">
        <v>0</v>
      </c>
      <c r="AM155" s="2">
        <v>-0.23</v>
      </c>
      <c r="AN155" s="2">
        <f t="shared" si="12"/>
        <v>-23.453099999999999</v>
      </c>
      <c r="AO155" s="2">
        <v>2736.59</v>
      </c>
      <c r="AP155" s="2">
        <f t="shared" si="13"/>
        <v>116.68350878988279</v>
      </c>
      <c r="AQ155" s="2">
        <v>1.06</v>
      </c>
      <c r="AR155" s="2">
        <f t="shared" si="14"/>
        <v>108.0882</v>
      </c>
      <c r="AS155" s="2">
        <v>-2413</v>
      </c>
      <c r="AT155" s="1" t="str">
        <f t="shared" si="15"/>
        <v>Compresión no aplica</v>
      </c>
      <c r="AU155" s="2">
        <v>881.1</v>
      </c>
      <c r="AV155" s="1">
        <f t="shared" si="16"/>
        <v>8.1516761311595527</v>
      </c>
      <c r="AW155" s="2">
        <v>0.35</v>
      </c>
      <c r="AX155" s="3">
        <f t="shared" si="17"/>
        <v>-23.453099999999999</v>
      </c>
      <c r="AY155" s="2">
        <v>0.1</v>
      </c>
      <c r="AZ155" s="2">
        <v>0</v>
      </c>
      <c r="BA155" s="2" t="s">
        <v>32</v>
      </c>
    </row>
    <row r="156" spans="37:53" x14ac:dyDescent="0.3">
      <c r="AK156" s="2" t="s">
        <v>21</v>
      </c>
      <c r="AL156" s="2">
        <v>0</v>
      </c>
      <c r="AM156" s="2">
        <v>-0.39</v>
      </c>
      <c r="AN156" s="2">
        <f t="shared" si="12"/>
        <v>-39.768300000000004</v>
      </c>
      <c r="AO156" s="2">
        <v>2736.59</v>
      </c>
      <c r="AP156" s="2">
        <f t="shared" si="13"/>
        <v>68.813351337623175</v>
      </c>
      <c r="AQ156" s="2">
        <v>3</v>
      </c>
      <c r="AR156" s="2">
        <f t="shared" si="14"/>
        <v>305.90999999999997</v>
      </c>
      <c r="AS156" s="2">
        <v>-2413</v>
      </c>
      <c r="AT156" s="1" t="str">
        <f t="shared" si="15"/>
        <v>Compresión no aplica</v>
      </c>
      <c r="AU156" s="2">
        <v>881.1</v>
      </c>
      <c r="AV156" s="1">
        <f t="shared" si="16"/>
        <v>2.8802588996763756</v>
      </c>
      <c r="AW156" s="2">
        <v>0.59</v>
      </c>
      <c r="AX156" s="3">
        <f t="shared" si="17"/>
        <v>-39.768300000000004</v>
      </c>
      <c r="AY156" s="2">
        <v>0.3</v>
      </c>
      <c r="AZ156" s="2">
        <v>0</v>
      </c>
      <c r="BA156" s="2" t="s">
        <v>33</v>
      </c>
    </row>
    <row r="157" spans="37:53" x14ac:dyDescent="0.3">
      <c r="AK157" s="2" t="s">
        <v>21</v>
      </c>
      <c r="AL157" s="2">
        <v>0</v>
      </c>
      <c r="AM157" s="2">
        <v>0.34</v>
      </c>
      <c r="AN157" s="2">
        <f t="shared" si="12"/>
        <v>34.669800000000002</v>
      </c>
      <c r="AO157" s="2">
        <v>2736.59</v>
      </c>
      <c r="AP157" s="2">
        <f t="shared" si="13"/>
        <v>78.932961828450118</v>
      </c>
      <c r="AQ157" s="2">
        <v>0.2</v>
      </c>
      <c r="AR157" s="2">
        <f t="shared" si="14"/>
        <v>20.394000000000002</v>
      </c>
      <c r="AS157" s="2">
        <v>-2413</v>
      </c>
      <c r="AT157" s="1" t="str">
        <f t="shared" si="15"/>
        <v>Compresión no aplica</v>
      </c>
      <c r="AU157" s="2">
        <v>881.1</v>
      </c>
      <c r="AV157" s="1">
        <f t="shared" si="16"/>
        <v>43.203883495145625</v>
      </c>
      <c r="AW157" s="2">
        <v>-0.52</v>
      </c>
      <c r="AX157" s="3">
        <f t="shared" si="17"/>
        <v>34.669800000000002</v>
      </c>
      <c r="AY157" s="2">
        <v>0</v>
      </c>
      <c r="AZ157" s="2">
        <v>0</v>
      </c>
      <c r="BA157" s="2" t="s">
        <v>34</v>
      </c>
    </row>
    <row r="158" spans="37:53" x14ac:dyDescent="0.3">
      <c r="AK158" s="2" t="s">
        <v>21</v>
      </c>
      <c r="AL158" s="2">
        <v>0</v>
      </c>
      <c r="AM158" s="2">
        <v>-1.76</v>
      </c>
      <c r="AN158" s="2">
        <f t="shared" si="12"/>
        <v>-179.46719999999999</v>
      </c>
      <c r="AO158" s="2">
        <v>2736.59</v>
      </c>
      <c r="AP158" s="2">
        <f t="shared" si="13"/>
        <v>15.248413080496048</v>
      </c>
      <c r="AQ158" s="2">
        <v>2.54</v>
      </c>
      <c r="AR158" s="2">
        <f t="shared" si="14"/>
        <v>259.00380000000001</v>
      </c>
      <c r="AS158" s="2">
        <v>-2413</v>
      </c>
      <c r="AT158" s="1" t="str">
        <f t="shared" si="15"/>
        <v>Compresión no aplica</v>
      </c>
      <c r="AU158" s="2">
        <v>881.1</v>
      </c>
      <c r="AV158" s="1">
        <f t="shared" si="16"/>
        <v>3.4018805901689473</v>
      </c>
      <c r="AW158" s="2">
        <v>2.63</v>
      </c>
      <c r="AX158" s="3">
        <f t="shared" si="17"/>
        <v>-179.46719999999999</v>
      </c>
      <c r="AY158" s="2">
        <v>0.25</v>
      </c>
      <c r="AZ158" s="2">
        <v>0</v>
      </c>
      <c r="BA158" s="2" t="s">
        <v>35</v>
      </c>
    </row>
    <row r="159" spans="37:53" x14ac:dyDescent="0.3">
      <c r="AK159" s="2" t="s">
        <v>21</v>
      </c>
      <c r="AL159" s="2">
        <v>0</v>
      </c>
      <c r="AM159" s="2">
        <v>1.51</v>
      </c>
      <c r="AN159" s="2">
        <f t="shared" si="12"/>
        <v>153.97470000000001</v>
      </c>
      <c r="AO159" s="2">
        <v>2736.59</v>
      </c>
      <c r="AP159" s="2">
        <f t="shared" si="13"/>
        <v>17.772984782564926</v>
      </c>
      <c r="AQ159" s="2">
        <v>0.62</v>
      </c>
      <c r="AR159" s="2">
        <f t="shared" si="14"/>
        <v>63.221399999999996</v>
      </c>
      <c r="AS159" s="2">
        <v>-2413</v>
      </c>
      <c r="AT159" s="1" t="str">
        <f t="shared" si="15"/>
        <v>Compresión no aplica</v>
      </c>
      <c r="AU159" s="2">
        <v>881.1</v>
      </c>
      <c r="AV159" s="1">
        <f t="shared" si="16"/>
        <v>13.936736611337302</v>
      </c>
      <c r="AW159" s="2">
        <v>-2.2599999999999998</v>
      </c>
      <c r="AX159" s="3">
        <f t="shared" si="17"/>
        <v>153.97470000000001</v>
      </c>
      <c r="AY159" s="2">
        <v>0.05</v>
      </c>
      <c r="AZ159" s="2">
        <v>0</v>
      </c>
      <c r="BA159" s="2" t="s">
        <v>36</v>
      </c>
    </row>
  </sheetData>
  <mergeCells count="20">
    <mergeCell ref="G3:J3"/>
    <mergeCell ref="AL8:BA8"/>
    <mergeCell ref="C42:D42"/>
    <mergeCell ref="K42:L42"/>
    <mergeCell ref="T42:U42"/>
    <mergeCell ref="T9:U9"/>
    <mergeCell ref="C10:D10"/>
    <mergeCell ref="K10:L10"/>
    <mergeCell ref="T10:U10"/>
    <mergeCell ref="C11:D11"/>
    <mergeCell ref="K11:L11"/>
    <mergeCell ref="C43:D43"/>
    <mergeCell ref="K43:L43"/>
    <mergeCell ref="T43:U43"/>
    <mergeCell ref="C27:D27"/>
    <mergeCell ref="K27:L27"/>
    <mergeCell ref="T27:U27"/>
    <mergeCell ref="C28:D28"/>
    <mergeCell ref="K28:L28"/>
    <mergeCell ref="T28:U28"/>
  </mergeCells>
  <conditionalFormatting sqref="AP10:AP159">
    <cfRule type="cellIs" dxfId="7" priority="1" operator="lessThan">
      <formula>2</formula>
    </cfRule>
    <cfRule type="cellIs" dxfId="6" priority="2" operator="greaterThanOrEqual">
      <formula>2</formula>
    </cfRule>
  </conditionalFormatting>
  <conditionalFormatting sqref="AT10:AT159">
    <cfRule type="cellIs" dxfId="5" priority="3" operator="lessThan">
      <formula>2</formula>
    </cfRule>
    <cfRule type="cellIs" dxfId="4" priority="4" operator="greaterThanOrEqual">
      <formula>2</formula>
    </cfRule>
  </conditionalFormatting>
  <conditionalFormatting sqref="AV10:AV159">
    <cfRule type="cellIs" dxfId="3" priority="5" operator="lessThan">
      <formula>1.5</formula>
    </cfRule>
    <cfRule type="cellIs" dxfId="2" priority="6" operator="greaterThanOrEqual">
      <formula>1.5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081E-FAAF-4A38-BAF2-0A74B47476A7}">
  <dimension ref="C2:AY55"/>
  <sheetViews>
    <sheetView tabSelected="1" topLeftCell="A34" zoomScale="85" zoomScaleNormal="85" workbookViewId="0">
      <selection activeCell="C55" sqref="C55"/>
    </sheetView>
  </sheetViews>
  <sheetFormatPr baseColWidth="10" defaultRowHeight="14.4" x14ac:dyDescent="0.3"/>
  <cols>
    <col min="3" max="3" width="35.109375" bestFit="1" customWidth="1"/>
    <col min="4" max="4" width="19.88671875" bestFit="1" customWidth="1"/>
    <col min="11" max="11" width="26" bestFit="1" customWidth="1"/>
    <col min="12" max="12" width="22.44140625" customWidth="1"/>
    <col min="20" max="20" width="25.5546875" bestFit="1" customWidth="1"/>
    <col min="21" max="21" width="15.6640625" customWidth="1"/>
    <col min="40" max="40" width="20.5546875" bestFit="1" customWidth="1"/>
    <col min="41" max="41" width="20.5546875" customWidth="1"/>
    <col min="44" max="44" width="28.33203125" bestFit="1" customWidth="1"/>
    <col min="45" max="45" width="18.44140625" bestFit="1" customWidth="1"/>
    <col min="46" max="46" width="32.44140625" bestFit="1" customWidth="1"/>
    <col min="47" max="47" width="16.21875" bestFit="1" customWidth="1"/>
    <col min="51" max="51" width="12.77734375" bestFit="1" customWidth="1"/>
  </cols>
  <sheetData>
    <row r="2" spans="3:51" x14ac:dyDescent="0.3">
      <c r="C2" s="2" t="s">
        <v>13</v>
      </c>
      <c r="D2" s="2" t="s">
        <v>11</v>
      </c>
      <c r="E2" s="2" t="s">
        <v>10</v>
      </c>
    </row>
    <row r="3" spans="3:51" x14ac:dyDescent="0.3">
      <c r="C3" s="2" t="s">
        <v>9</v>
      </c>
      <c r="D3" s="2">
        <v>160</v>
      </c>
      <c r="E3" s="2">
        <v>82</v>
      </c>
      <c r="G3" s="14" t="s">
        <v>12</v>
      </c>
      <c r="H3" s="14"/>
      <c r="I3" s="14"/>
      <c r="J3" s="14"/>
    </row>
    <row r="4" spans="3:51" x14ac:dyDescent="0.3">
      <c r="C4" s="2" t="s">
        <v>66</v>
      </c>
      <c r="D4" s="2">
        <v>206</v>
      </c>
      <c r="E4" s="2">
        <v>170</v>
      </c>
    </row>
    <row r="5" spans="3:51" x14ac:dyDescent="0.3">
      <c r="C5" s="2" t="s">
        <v>14</v>
      </c>
      <c r="D5" s="4">
        <f>D4/D3</f>
        <v>1.2875000000000001</v>
      </c>
      <c r="E5" s="4">
        <f>E4/E3</f>
        <v>2.0731707317073171</v>
      </c>
    </row>
    <row r="8" spans="3:51" x14ac:dyDescent="0.3">
      <c r="AJ8" s="2"/>
      <c r="AK8" s="2" t="s">
        <v>37</v>
      </c>
      <c r="AL8" s="2" t="s">
        <v>38</v>
      </c>
      <c r="AM8" s="2" t="s">
        <v>63</v>
      </c>
      <c r="AN8" s="2" t="s">
        <v>64</v>
      </c>
      <c r="AO8" s="2" t="s">
        <v>51</v>
      </c>
      <c r="AP8" s="2" t="s">
        <v>39</v>
      </c>
      <c r="AQ8" s="2" t="s">
        <v>65</v>
      </c>
      <c r="AR8" s="2" t="s">
        <v>48</v>
      </c>
      <c r="AS8" s="2" t="s">
        <v>45</v>
      </c>
      <c r="AT8" s="2" t="s">
        <v>49</v>
      </c>
      <c r="AU8" s="5" t="s">
        <v>46</v>
      </c>
      <c r="AV8" s="2" t="s">
        <v>40</v>
      </c>
      <c r="AW8" s="2" t="s">
        <v>41</v>
      </c>
      <c r="AX8" s="2" t="s">
        <v>42</v>
      </c>
      <c r="AY8" s="2" t="s">
        <v>43</v>
      </c>
    </row>
    <row r="9" spans="3:51" x14ac:dyDescent="0.3">
      <c r="T9" s="13" t="s">
        <v>15</v>
      </c>
      <c r="U9" s="13"/>
      <c r="AJ9" s="2" t="s">
        <v>62</v>
      </c>
      <c r="AK9" s="1">
        <v>0</v>
      </c>
      <c r="AL9" s="1">
        <v>-0.71</v>
      </c>
      <c r="AM9" s="1">
        <f>AL9*101.97</f>
        <v>-72.398699999999991</v>
      </c>
      <c r="AN9" s="1">
        <v>2736.59</v>
      </c>
      <c r="AO9" s="1">
        <f>ABS(AN9/AM9)</f>
        <v>37.798883129116966</v>
      </c>
      <c r="AP9" s="1">
        <v>5.72</v>
      </c>
      <c r="AQ9" s="1">
        <f>AP9*101.97</f>
        <v>583.26839999999993</v>
      </c>
      <c r="AR9" s="1">
        <v>2905</v>
      </c>
      <c r="AS9" s="1">
        <f>IF(AR9/AP9&gt;=0,AR9/AP9, "Compresión no aplica")</f>
        <v>507.86713286713291</v>
      </c>
      <c r="AT9" s="1">
        <v>875</v>
      </c>
      <c r="AU9" s="1">
        <f>IF(AT9/AQ9&gt;=0,AT9/AQ9, "Tensión no aplica")</f>
        <v>1.5001669900169461</v>
      </c>
      <c r="AV9" s="1">
        <v>9.99</v>
      </c>
      <c r="AW9" s="1">
        <v>0</v>
      </c>
      <c r="AX9" s="1">
        <v>0</v>
      </c>
      <c r="AY9" s="1" t="s">
        <v>22</v>
      </c>
    </row>
    <row r="10" spans="3:51" x14ac:dyDescent="0.3">
      <c r="C10" s="13" t="s">
        <v>16</v>
      </c>
      <c r="D10" s="13"/>
      <c r="K10" s="13" t="s">
        <v>17</v>
      </c>
      <c r="L10" s="13"/>
      <c r="T10" s="13" t="s">
        <v>3</v>
      </c>
      <c r="U10" s="13"/>
      <c r="AJ10" s="2" t="s">
        <v>62</v>
      </c>
      <c r="AK10" s="1">
        <v>0</v>
      </c>
      <c r="AL10" s="1">
        <v>0.57999999999999996</v>
      </c>
      <c r="AM10" s="1">
        <f t="shared" ref="AM10:AM23" si="0">AL10*101.97</f>
        <v>59.142599999999995</v>
      </c>
      <c r="AN10" s="1">
        <v>2736.59</v>
      </c>
      <c r="AO10" s="1">
        <f t="shared" ref="AO10:AO23" si="1">ABS(AN10/AM10)</f>
        <v>46.271046589091455</v>
      </c>
      <c r="AP10" s="1">
        <v>0.02</v>
      </c>
      <c r="AQ10" s="1">
        <f t="shared" ref="AQ10:AQ23" si="2">AP10*101.97</f>
        <v>2.0394000000000001</v>
      </c>
      <c r="AR10" s="1">
        <v>2905</v>
      </c>
      <c r="AS10" s="1">
        <f t="shared" ref="AS10:AS23" si="3">IF(AR10/AP10&gt;=0,AR10/AP10, "Compresión no aplica")</f>
        <v>145250</v>
      </c>
      <c r="AT10" s="1">
        <v>875</v>
      </c>
      <c r="AU10" s="1">
        <f t="shared" ref="AU10:AU23" si="4">IF(AT10/AQ10&gt;=0,AT10/AQ10, "Tensión no aplica")</f>
        <v>429.04775914484651</v>
      </c>
      <c r="AV10" s="1">
        <v>-11.94</v>
      </c>
      <c r="AW10" s="1">
        <v>0</v>
      </c>
      <c r="AX10" s="1">
        <v>0</v>
      </c>
      <c r="AY10" s="1" t="s">
        <v>23</v>
      </c>
    </row>
    <row r="11" spans="3:51" x14ac:dyDescent="0.3">
      <c r="C11" s="13" t="s">
        <v>3</v>
      </c>
      <c r="D11" s="13"/>
      <c r="K11" s="13" t="s">
        <v>3</v>
      </c>
      <c r="L11" s="13"/>
      <c r="T11" s="5" t="s">
        <v>2</v>
      </c>
      <c r="U11" s="5" t="s">
        <v>1</v>
      </c>
      <c r="AJ11" s="2" t="s">
        <v>62</v>
      </c>
      <c r="AK11" s="1">
        <v>0</v>
      </c>
      <c r="AL11" s="1">
        <v>-3.58</v>
      </c>
      <c r="AM11" s="1">
        <f t="shared" si="0"/>
        <v>-365.05259999999998</v>
      </c>
      <c r="AN11" s="1">
        <v>2736.59</v>
      </c>
      <c r="AO11" s="1">
        <f t="shared" si="1"/>
        <v>7.4964265423667724</v>
      </c>
      <c r="AP11" s="1">
        <v>4.7699999999999996</v>
      </c>
      <c r="AQ11" s="1">
        <f t="shared" si="2"/>
        <v>486.39689999999996</v>
      </c>
      <c r="AR11" s="1">
        <v>2905</v>
      </c>
      <c r="AS11" s="1">
        <f t="shared" si="3"/>
        <v>609.01467505241101</v>
      </c>
      <c r="AT11" s="1">
        <v>875</v>
      </c>
      <c r="AU11" s="1">
        <f t="shared" si="4"/>
        <v>1.7989423863515579</v>
      </c>
      <c r="AV11" s="1">
        <v>13.28</v>
      </c>
      <c r="AW11" s="1">
        <v>0</v>
      </c>
      <c r="AX11" s="1">
        <v>0</v>
      </c>
      <c r="AY11" s="1" t="s">
        <v>24</v>
      </c>
    </row>
    <row r="12" spans="3:51" x14ac:dyDescent="0.3">
      <c r="C12" s="2" t="s">
        <v>2</v>
      </c>
      <c r="D12" s="2" t="s">
        <v>1</v>
      </c>
      <c r="K12" s="2" t="s">
        <v>2</v>
      </c>
      <c r="L12" s="2" t="s">
        <v>1</v>
      </c>
      <c r="T12" s="6">
        <f>'Pull out test IPE 160'!T8/'Interpolación para W8X15'!$D$5</f>
        <v>0</v>
      </c>
      <c r="U12" s="12">
        <f>'Pull out test IPE 160'!U8*'Interpolación para W8X15'!$E$5</f>
        <v>0</v>
      </c>
      <c r="AJ12" s="2" t="s">
        <v>62</v>
      </c>
      <c r="AK12" s="1">
        <v>0</v>
      </c>
      <c r="AL12" s="1">
        <v>3.03</v>
      </c>
      <c r="AM12" s="1">
        <f t="shared" si="0"/>
        <v>308.96909999999997</v>
      </c>
      <c r="AN12" s="1">
        <v>2736.59</v>
      </c>
      <c r="AO12" s="1">
        <f t="shared" si="1"/>
        <v>8.8571640335554598</v>
      </c>
      <c r="AP12" s="1">
        <v>0.88</v>
      </c>
      <c r="AQ12" s="1">
        <f t="shared" si="2"/>
        <v>89.733599999999996</v>
      </c>
      <c r="AR12" s="1">
        <v>2905</v>
      </c>
      <c r="AS12" s="1">
        <f t="shared" si="3"/>
        <v>3301.1363636363635</v>
      </c>
      <c r="AT12" s="1">
        <v>875</v>
      </c>
      <c r="AU12" s="1">
        <f t="shared" si="4"/>
        <v>9.7510854351101486</v>
      </c>
      <c r="AV12" s="1">
        <v>-15.63</v>
      </c>
      <c r="AW12" s="1">
        <v>0</v>
      </c>
      <c r="AX12" s="1">
        <v>0</v>
      </c>
      <c r="AY12" s="1" t="s">
        <v>25</v>
      </c>
    </row>
    <row r="13" spans="3:51" x14ac:dyDescent="0.3">
      <c r="C13" s="8">
        <f>'Pull out test IPE 160'!C9/'Interpolación para W8X15'!$D$5</f>
        <v>0</v>
      </c>
      <c r="D13" s="1">
        <f>'Pull out test IPE 160'!D9/E5</f>
        <v>0</v>
      </c>
      <c r="K13" s="7">
        <f>'Pull out test IPE 160'!K9/'Interpolación para W8X15'!$D$5</f>
        <v>0</v>
      </c>
      <c r="L13" s="7">
        <f>'Pull out test IPE 160'!L9*'Interpolación para W8X15'!$E$5</f>
        <v>0</v>
      </c>
      <c r="T13" s="6">
        <f>'Pull out test IPE 160'!T9/'Interpolación para W8X15'!$D$5</f>
        <v>0.1553398058252427</v>
      </c>
      <c r="U13" s="12">
        <f>'Pull out test IPE 160'!U9*'Interpolación para W8X15'!$E$5</f>
        <v>733.90243902439022</v>
      </c>
      <c r="AJ13" s="2" t="s">
        <v>62</v>
      </c>
      <c r="AK13" s="1">
        <v>0</v>
      </c>
      <c r="AL13" s="1">
        <v>-0.71</v>
      </c>
      <c r="AM13" s="1">
        <f t="shared" si="0"/>
        <v>-72.398699999999991</v>
      </c>
      <c r="AN13" s="1">
        <v>2736.59</v>
      </c>
      <c r="AO13" s="1">
        <f t="shared" si="1"/>
        <v>37.798883129116966</v>
      </c>
      <c r="AP13" s="1">
        <v>4.6399999999999997</v>
      </c>
      <c r="AQ13" s="1">
        <f t="shared" si="2"/>
        <v>473.14079999999996</v>
      </c>
      <c r="AR13" s="1">
        <v>2905</v>
      </c>
      <c r="AS13" s="1">
        <f t="shared" si="3"/>
        <v>626.07758620689663</v>
      </c>
      <c r="AT13" s="1">
        <v>875</v>
      </c>
      <c r="AU13" s="1">
        <f t="shared" si="4"/>
        <v>1.849343789417442</v>
      </c>
      <c r="AV13" s="1">
        <v>9.99</v>
      </c>
      <c r="AW13" s="1">
        <v>0</v>
      </c>
      <c r="AX13" s="1">
        <v>0</v>
      </c>
      <c r="AY13" s="1" t="s">
        <v>26</v>
      </c>
    </row>
    <row r="14" spans="3:51" x14ac:dyDescent="0.3">
      <c r="C14" s="8">
        <f>'Pull out test IPE 160'!C10/'Interpolación para W8X15'!$D$5</f>
        <v>0.1941747572815534</v>
      </c>
      <c r="D14" s="1">
        <f>'Pull out test IPE 160'!D10</f>
        <v>326</v>
      </c>
      <c r="K14" s="7">
        <f>'Pull out test IPE 160'!K10/'Interpolación para W8X15'!$D$5</f>
        <v>6.9902912621359212E-2</v>
      </c>
      <c r="L14" s="7">
        <f>'Pull out test IPE 160'!L10*'Interpolación para W8X15'!$E$5</f>
        <v>833.41463414634154</v>
      </c>
      <c r="T14" s="6">
        <f>'Pull out test IPE 160'!T10/'Interpolación para W8X15'!$D$5</f>
        <v>0.69902912621359226</v>
      </c>
      <c r="U14" s="12">
        <f>'Pull out test IPE 160'!U10*'Interpolación para W8X15'!$E$5</f>
        <v>1202.439024390244</v>
      </c>
      <c r="AJ14" s="2" t="s">
        <v>62</v>
      </c>
      <c r="AK14" s="1">
        <v>0</v>
      </c>
      <c r="AL14" s="1">
        <v>0.57999999999999996</v>
      </c>
      <c r="AM14" s="1">
        <f t="shared" si="0"/>
        <v>59.142599999999995</v>
      </c>
      <c r="AN14" s="1">
        <v>2736.59</v>
      </c>
      <c r="AO14" s="1">
        <f t="shared" si="1"/>
        <v>46.271046589091455</v>
      </c>
      <c r="AP14" s="1">
        <v>-1.05</v>
      </c>
      <c r="AQ14" s="1">
        <f t="shared" si="2"/>
        <v>-107.0685</v>
      </c>
      <c r="AR14" s="1">
        <v>2905</v>
      </c>
      <c r="AS14" s="1" t="str">
        <f t="shared" si="3"/>
        <v>Compresión no aplica</v>
      </c>
      <c r="AT14" s="1">
        <v>875</v>
      </c>
      <c r="AU14" s="1" t="str">
        <f t="shared" si="4"/>
        <v>Tensión no aplica</v>
      </c>
      <c r="AV14" s="1">
        <v>-11.94</v>
      </c>
      <c r="AW14" s="1">
        <v>0</v>
      </c>
      <c r="AX14" s="1">
        <v>0</v>
      </c>
      <c r="AY14" s="1" t="s">
        <v>27</v>
      </c>
    </row>
    <row r="15" spans="3:51" x14ac:dyDescent="0.3">
      <c r="C15" s="8">
        <f>'Pull out test IPE 160'!C11/'Interpolación para W8X15'!$D$5</f>
        <v>1.8640776699029125</v>
      </c>
      <c r="D15" s="1">
        <f>'Pull out test IPE 160'!D11</f>
        <v>618</v>
      </c>
      <c r="K15" s="7">
        <f>'Pull out test IPE 160'!K11/'Interpolación para W8X15'!$D$5</f>
        <v>0.17864077669902911</v>
      </c>
      <c r="L15" s="7">
        <f>'Pull out test IPE 160'!L11*'Interpolación para W8X15'!$E$5</f>
        <v>1281.219512195122</v>
      </c>
      <c r="T15" s="6">
        <f>'Pull out test IPE 160'!T11/'Interpolación para W8X15'!$D$5</f>
        <v>1.2427184466019416</v>
      </c>
      <c r="U15" s="12">
        <f>'Pull out test IPE 160'!U11*'Interpolación para W8X15'!$E$5</f>
        <v>1577.6829268292684</v>
      </c>
      <c r="AJ15" s="2" t="s">
        <v>62</v>
      </c>
      <c r="AK15" s="1">
        <v>0</v>
      </c>
      <c r="AL15" s="1">
        <v>-3.58</v>
      </c>
      <c r="AM15" s="1">
        <f t="shared" si="0"/>
        <v>-365.05259999999998</v>
      </c>
      <c r="AN15" s="1">
        <v>2736.59</v>
      </c>
      <c r="AO15" s="1">
        <f t="shared" si="1"/>
        <v>7.4964265423667724</v>
      </c>
      <c r="AP15" s="1">
        <v>3.69</v>
      </c>
      <c r="AQ15" s="1">
        <f t="shared" si="2"/>
        <v>376.26929999999999</v>
      </c>
      <c r="AR15" s="1">
        <v>2905</v>
      </c>
      <c r="AS15" s="1">
        <f t="shared" si="3"/>
        <v>787.26287262872631</v>
      </c>
      <c r="AT15" s="1">
        <v>875</v>
      </c>
      <c r="AU15" s="1">
        <f t="shared" si="4"/>
        <v>2.32546210918616</v>
      </c>
      <c r="AV15" s="1">
        <v>13.28</v>
      </c>
      <c r="AW15" s="1">
        <v>0</v>
      </c>
      <c r="AX15" s="1">
        <v>0</v>
      </c>
      <c r="AY15" s="1" t="s">
        <v>28</v>
      </c>
    </row>
    <row r="16" spans="3:51" x14ac:dyDescent="0.3">
      <c r="C16" s="8">
        <f>'Pull out test IPE 160'!C12/'Interpolación para W8X15'!$D$5</f>
        <v>3.6815533980582522</v>
      </c>
      <c r="D16" s="1">
        <f>'Pull out test IPE 160'!D12</f>
        <v>861</v>
      </c>
      <c r="K16" s="7">
        <f>'Pull out test IPE 160'!K12/'Interpolación para W8X15'!$D$5</f>
        <v>0.55145631067961154</v>
      </c>
      <c r="L16" s="7">
        <f>'Pull out test IPE 160'!L12*'Interpolación para W8X15'!$E$5</f>
        <v>1693.780487804878</v>
      </c>
      <c r="T16" s="6">
        <f>'Pull out test IPE 160'!T12/'Interpolación para W8X15'!$D$5</f>
        <v>6.0038834951456312</v>
      </c>
      <c r="U16" s="12">
        <f>'Pull out test IPE 160'!U12*'Interpolación para W8X15'!$E$5</f>
        <v>2363.4146341463415</v>
      </c>
      <c r="AJ16" s="2" t="s">
        <v>62</v>
      </c>
      <c r="AK16" s="1">
        <v>0</v>
      </c>
      <c r="AL16" s="1">
        <v>3.03</v>
      </c>
      <c r="AM16" s="1">
        <f t="shared" si="0"/>
        <v>308.96909999999997</v>
      </c>
      <c r="AN16" s="1">
        <v>2736.59</v>
      </c>
      <c r="AO16" s="1">
        <f t="shared" si="1"/>
        <v>8.8571640335554598</v>
      </c>
      <c r="AP16" s="1">
        <v>-0.2</v>
      </c>
      <c r="AQ16" s="1">
        <f t="shared" si="2"/>
        <v>-20.394000000000002</v>
      </c>
      <c r="AR16" s="1">
        <v>2905</v>
      </c>
      <c r="AS16" s="1" t="str">
        <f t="shared" si="3"/>
        <v>Compresión no aplica</v>
      </c>
      <c r="AT16" s="1">
        <v>875</v>
      </c>
      <c r="AU16" s="1" t="str">
        <f t="shared" si="4"/>
        <v>Tensión no aplica</v>
      </c>
      <c r="AV16" s="1">
        <v>-15.63</v>
      </c>
      <c r="AW16" s="1">
        <v>0</v>
      </c>
      <c r="AX16" s="1">
        <v>0</v>
      </c>
      <c r="AY16" s="1" t="s">
        <v>29</v>
      </c>
    </row>
    <row r="17" spans="3:51" x14ac:dyDescent="0.3">
      <c r="C17" s="8">
        <f>'Pull out test IPE 160'!C13/'Interpolación para W8X15'!$D$5</f>
        <v>9.3902912621359214</v>
      </c>
      <c r="D17" s="1">
        <f>'Pull out test IPE 160'!D13</f>
        <v>1032</v>
      </c>
      <c r="K17" s="7">
        <f>'Pull out test IPE 160'!K13/'Interpolación para W8X15'!$D$5</f>
        <v>0.86213592233009706</v>
      </c>
      <c r="L17" s="7">
        <f>'Pull out test IPE 160'!L13*'Interpolación para W8X15'!$E$5</f>
        <v>2168.5365853658536</v>
      </c>
      <c r="T17" s="6">
        <f>'Pull out test IPE 160'!T13/'Interpolación para W8X15'!$D$5</f>
        <v>14.65631067961165</v>
      </c>
      <c r="U17" s="12">
        <f>'Pull out test IPE 160'!U13*'Interpolación para W8X15'!$E$5</f>
        <v>2848.5365853658536</v>
      </c>
      <c r="AJ17" s="2" t="s">
        <v>62</v>
      </c>
      <c r="AK17" s="1">
        <v>0</v>
      </c>
      <c r="AL17" s="1">
        <v>1E-4</v>
      </c>
      <c r="AM17" s="1">
        <f t="shared" si="0"/>
        <v>1.0197000000000001E-2</v>
      </c>
      <c r="AN17" s="1">
        <v>2736.59</v>
      </c>
      <c r="AO17" s="1">
        <f t="shared" si="1"/>
        <v>268372.07021673041</v>
      </c>
      <c r="AP17" s="1">
        <v>2.69</v>
      </c>
      <c r="AQ17" s="1">
        <f t="shared" si="2"/>
        <v>274.29930000000002</v>
      </c>
      <c r="AR17" s="1">
        <v>2905</v>
      </c>
      <c r="AS17" s="1">
        <f t="shared" si="3"/>
        <v>1079.9256505576209</v>
      </c>
      <c r="AT17" s="1">
        <v>875</v>
      </c>
      <c r="AU17" s="1">
        <f t="shared" si="4"/>
        <v>3.1899461646456988</v>
      </c>
      <c r="AV17" s="1">
        <v>0</v>
      </c>
      <c r="AW17" s="1">
        <v>0</v>
      </c>
      <c r="AX17" s="1">
        <v>0</v>
      </c>
      <c r="AY17" s="1" t="s">
        <v>30</v>
      </c>
    </row>
    <row r="18" spans="3:51" x14ac:dyDescent="0.3">
      <c r="C18" s="8">
        <f>'Pull out test IPE 160'!C14/'Interpolación para W8X15'!$D$5</f>
        <v>19.875728155339804</v>
      </c>
      <c r="D18" s="1">
        <f>'Pull out test IPE 160'!D14</f>
        <v>1164</v>
      </c>
      <c r="K18" s="7">
        <f>'Pull out test IPE 160'!K14/'Interpolación para W8X15'!$D$5</f>
        <v>1.6776699029126214</v>
      </c>
      <c r="L18" s="7">
        <f>'Pull out test IPE 160'!L14*'Interpolación para W8X15'!$E$5</f>
        <v>2699.268292682927</v>
      </c>
      <c r="T18" s="6">
        <f>'Pull out test IPE 160'!T14/'Interpolación para W8X15'!$D$5</f>
        <v>19.798058252427182</v>
      </c>
      <c r="U18" s="12">
        <f>'Pull out test IPE 160'!U14*'Interpolación para W8X15'!$E$5</f>
        <v>2906.5853658536585</v>
      </c>
      <c r="AJ18" s="2" t="s">
        <v>62</v>
      </c>
      <c r="AK18" s="1">
        <v>0</v>
      </c>
      <c r="AL18" s="1">
        <v>-0.36</v>
      </c>
      <c r="AM18" s="1">
        <f t="shared" si="0"/>
        <v>-36.709199999999996</v>
      </c>
      <c r="AN18" s="1">
        <v>2736.59</v>
      </c>
      <c r="AO18" s="1">
        <f t="shared" si="1"/>
        <v>74.547797282425122</v>
      </c>
      <c r="AP18" s="1">
        <v>2.93</v>
      </c>
      <c r="AQ18" s="1">
        <f t="shared" si="2"/>
        <v>298.77210000000002</v>
      </c>
      <c r="AR18" s="1">
        <v>2905</v>
      </c>
      <c r="AS18" s="1">
        <f t="shared" si="3"/>
        <v>991.46757679180882</v>
      </c>
      <c r="AT18" s="1">
        <v>875</v>
      </c>
      <c r="AU18" s="1">
        <f t="shared" si="4"/>
        <v>2.928653646039908</v>
      </c>
      <c r="AV18" s="1">
        <v>0.55000000000000004</v>
      </c>
      <c r="AW18" s="1">
        <v>0</v>
      </c>
      <c r="AX18" s="1">
        <v>0</v>
      </c>
      <c r="AY18" s="1" t="s">
        <v>31</v>
      </c>
    </row>
    <row r="19" spans="3:51" x14ac:dyDescent="0.3">
      <c r="C19" s="1" t="s">
        <v>7</v>
      </c>
      <c r="D19" s="1">
        <v>2.5</v>
      </c>
      <c r="K19" s="7">
        <f>'Pull out test IPE 160'!K15/'Interpolación para W8X15'!$D$5</f>
        <v>2.7262135922330093</v>
      </c>
      <c r="L19" s="7">
        <f>'Pull out test IPE 160'!L15*'Interpolación para W8X15'!$E$5</f>
        <v>3006.0975609756097</v>
      </c>
      <c r="T19" s="5" t="s">
        <v>7</v>
      </c>
      <c r="U19" s="5">
        <v>2.5</v>
      </c>
      <c r="AJ19" s="2" t="s">
        <v>62</v>
      </c>
      <c r="AK19" s="1">
        <v>0</v>
      </c>
      <c r="AL19" s="1">
        <v>-0.36</v>
      </c>
      <c r="AM19" s="1">
        <f t="shared" si="0"/>
        <v>-36.709199999999996</v>
      </c>
      <c r="AN19" s="1">
        <v>2736.59</v>
      </c>
      <c r="AO19" s="1">
        <f t="shared" si="1"/>
        <v>74.547797282425122</v>
      </c>
      <c r="AP19" s="1">
        <v>1.85</v>
      </c>
      <c r="AQ19" s="1">
        <f t="shared" si="2"/>
        <v>188.64449999999999</v>
      </c>
      <c r="AR19" s="1">
        <v>2905</v>
      </c>
      <c r="AS19" s="1">
        <f t="shared" si="3"/>
        <v>1570.2702702702702</v>
      </c>
      <c r="AT19" s="1">
        <v>875</v>
      </c>
      <c r="AU19" s="1">
        <f t="shared" si="4"/>
        <v>4.6383541529172598</v>
      </c>
      <c r="AV19" s="1">
        <v>0.55000000000000004</v>
      </c>
      <c r="AW19" s="1">
        <v>0</v>
      </c>
      <c r="AX19" s="1">
        <v>0</v>
      </c>
      <c r="AY19" s="1" t="s">
        <v>32</v>
      </c>
    </row>
    <row r="20" spans="3:51" x14ac:dyDescent="0.3">
      <c r="K20" s="7">
        <f>'Pull out test IPE 160'!K16/'Interpolación para W8X15'!$D$5</f>
        <v>5.0718446601941745</v>
      </c>
      <c r="L20" s="7">
        <f>'Pull out test IPE 160'!L16*'Interpolación para W8X15'!$E$5</f>
        <v>3424.8780487804879</v>
      </c>
      <c r="AJ20" s="2" t="s">
        <v>62</v>
      </c>
      <c r="AK20" s="1">
        <v>0</v>
      </c>
      <c r="AL20" s="1">
        <v>-0.53</v>
      </c>
      <c r="AM20" s="1">
        <f t="shared" si="0"/>
        <v>-54.0441</v>
      </c>
      <c r="AN20" s="1">
        <v>2736.59</v>
      </c>
      <c r="AO20" s="1">
        <f t="shared" si="1"/>
        <v>50.636239663534042</v>
      </c>
      <c r="AP20" s="1">
        <v>4.96</v>
      </c>
      <c r="AQ20" s="1">
        <f t="shared" si="2"/>
        <v>505.77119999999996</v>
      </c>
      <c r="AR20" s="1">
        <v>2905</v>
      </c>
      <c r="AS20" s="1">
        <f t="shared" si="3"/>
        <v>585.6854838709678</v>
      </c>
      <c r="AT20" s="1">
        <v>875</v>
      </c>
      <c r="AU20" s="1">
        <f t="shared" si="4"/>
        <v>1.7300312868743812</v>
      </c>
      <c r="AV20" s="1">
        <v>7.49</v>
      </c>
      <c r="AW20" s="1">
        <v>0</v>
      </c>
      <c r="AX20" s="1">
        <v>0</v>
      </c>
      <c r="AY20" s="1" t="s">
        <v>33</v>
      </c>
    </row>
    <row r="21" spans="3:51" x14ac:dyDescent="0.3">
      <c r="K21" s="7">
        <f>'Pull out test IPE 160'!K17/'Interpolación para W8X15'!$D$5</f>
        <v>11.487378640776697</v>
      </c>
      <c r="L21" s="7">
        <f>'Pull out test IPE 160'!L17*'Interpolación para W8X15'!$E$5</f>
        <v>3860.2439024390246</v>
      </c>
      <c r="AJ21" s="2" t="s">
        <v>62</v>
      </c>
      <c r="AK21" s="1">
        <v>0</v>
      </c>
      <c r="AL21" s="1">
        <v>0.43</v>
      </c>
      <c r="AM21" s="1">
        <f t="shared" si="0"/>
        <v>43.847099999999998</v>
      </c>
      <c r="AN21" s="1">
        <v>2736.59</v>
      </c>
      <c r="AO21" s="1">
        <f t="shared" si="1"/>
        <v>62.41210935272801</v>
      </c>
      <c r="AP21" s="1">
        <v>0.69</v>
      </c>
      <c r="AQ21" s="1">
        <f t="shared" si="2"/>
        <v>70.35929999999999</v>
      </c>
      <c r="AR21" s="1">
        <v>2905</v>
      </c>
      <c r="AS21" s="1">
        <f t="shared" si="3"/>
        <v>4210.144927536232</v>
      </c>
      <c r="AT21" s="1">
        <v>875</v>
      </c>
      <c r="AU21" s="1">
        <f t="shared" si="4"/>
        <v>12.436166931734684</v>
      </c>
      <c r="AV21" s="1">
        <v>-8.9600000000000009</v>
      </c>
      <c r="AW21" s="1">
        <v>0</v>
      </c>
      <c r="AX21" s="1">
        <v>0</v>
      </c>
      <c r="AY21" s="1" t="s">
        <v>34</v>
      </c>
    </row>
    <row r="22" spans="3:51" x14ac:dyDescent="0.3">
      <c r="K22" s="7">
        <f>'Pull out test IPE 160'!K18/'Interpolación para W8X15'!$D$5</f>
        <v>19.922330097087375</v>
      </c>
      <c r="L22" s="7">
        <f>'Pull out test IPE 160'!L18*'Interpolación para W8X15'!$E$5</f>
        <v>4005.3658536585367</v>
      </c>
      <c r="AJ22" s="2" t="s">
        <v>62</v>
      </c>
      <c r="AK22" s="1">
        <v>0</v>
      </c>
      <c r="AL22" s="1">
        <v>-2.69</v>
      </c>
      <c r="AM22" s="1">
        <f t="shared" si="0"/>
        <v>-274.29930000000002</v>
      </c>
      <c r="AN22" s="1">
        <v>2736.59</v>
      </c>
      <c r="AO22" s="1">
        <f t="shared" si="1"/>
        <v>9.9766568853803133</v>
      </c>
      <c r="AP22" s="1">
        <v>4.25</v>
      </c>
      <c r="AQ22" s="1">
        <f t="shared" si="2"/>
        <v>433.3725</v>
      </c>
      <c r="AR22" s="1">
        <v>2905</v>
      </c>
      <c r="AS22" s="1">
        <f t="shared" si="3"/>
        <v>683.52941176470586</v>
      </c>
      <c r="AT22" s="1">
        <v>875</v>
      </c>
      <c r="AU22" s="1">
        <f t="shared" si="4"/>
        <v>2.0190482783286896</v>
      </c>
      <c r="AV22" s="1">
        <v>9.9600000000000009</v>
      </c>
      <c r="AW22" s="1">
        <v>0</v>
      </c>
      <c r="AX22" s="1">
        <v>0</v>
      </c>
      <c r="AY22" s="1" t="s">
        <v>35</v>
      </c>
    </row>
    <row r="23" spans="3:51" x14ac:dyDescent="0.3">
      <c r="K23" s="1" t="s">
        <v>7</v>
      </c>
      <c r="L23" s="1">
        <v>2.5</v>
      </c>
      <c r="AJ23" s="2" t="s">
        <v>62</v>
      </c>
      <c r="AK23" s="1">
        <v>0</v>
      </c>
      <c r="AL23" s="1">
        <v>2.27</v>
      </c>
      <c r="AM23" s="1">
        <f t="shared" si="0"/>
        <v>231.47190000000001</v>
      </c>
      <c r="AN23" s="1">
        <v>2736.59</v>
      </c>
      <c r="AO23" s="1">
        <f t="shared" si="1"/>
        <v>11.822558159327331</v>
      </c>
      <c r="AP23" s="1">
        <v>1.33</v>
      </c>
      <c r="AQ23" s="1">
        <f t="shared" si="2"/>
        <v>135.62010000000001</v>
      </c>
      <c r="AR23" s="1">
        <v>2905</v>
      </c>
      <c r="AS23" s="1">
        <f t="shared" si="3"/>
        <v>2184.2105263157891</v>
      </c>
      <c r="AT23" s="1">
        <v>875</v>
      </c>
      <c r="AU23" s="1">
        <f t="shared" si="4"/>
        <v>6.4518460021781427</v>
      </c>
      <c r="AV23" s="1">
        <v>-11.72</v>
      </c>
      <c r="AW23" s="1">
        <v>0</v>
      </c>
      <c r="AX23" s="1">
        <v>0</v>
      </c>
      <c r="AY23" s="1" t="s">
        <v>36</v>
      </c>
    </row>
    <row r="27" spans="3:51" x14ac:dyDescent="0.3">
      <c r="C27" s="13" t="s">
        <v>16</v>
      </c>
      <c r="D27" s="13"/>
      <c r="K27" s="13" t="s">
        <v>17</v>
      </c>
      <c r="L27" s="13"/>
      <c r="T27" s="13" t="s">
        <v>15</v>
      </c>
      <c r="U27" s="13"/>
    </row>
    <row r="28" spans="3:51" x14ac:dyDescent="0.3">
      <c r="C28" s="13" t="s">
        <v>4</v>
      </c>
      <c r="D28" s="13"/>
      <c r="K28" s="13" t="s">
        <v>4</v>
      </c>
      <c r="L28" s="13"/>
      <c r="T28" s="13" t="s">
        <v>4</v>
      </c>
      <c r="U28" s="13"/>
      <c r="AD28" s="9"/>
      <c r="AE28" s="10"/>
    </row>
    <row r="29" spans="3:51" x14ac:dyDescent="0.3">
      <c r="C29" s="1" t="s">
        <v>2</v>
      </c>
      <c r="D29" s="1" t="s">
        <v>1</v>
      </c>
      <c r="K29" s="2" t="s">
        <v>2</v>
      </c>
      <c r="L29" s="2" t="s">
        <v>1</v>
      </c>
      <c r="T29" s="2" t="s">
        <v>2</v>
      </c>
      <c r="U29" s="2" t="s">
        <v>1</v>
      </c>
      <c r="AD29" s="9"/>
      <c r="AE29" s="10"/>
    </row>
    <row r="30" spans="3:51" x14ac:dyDescent="0.3">
      <c r="C30" s="8">
        <f>'Pull out test IPE 160'!C26/'Interpolación para W8X15'!$D$5</f>
        <v>0</v>
      </c>
      <c r="D30" s="7">
        <f>'Pull out test IPE 160'!D26*'Interpolación para W8X15'!$E$5</f>
        <v>0</v>
      </c>
      <c r="K30" s="8">
        <f>'Pull out test IPE 160'!K26/'Interpolación para W8X15'!$D$5</f>
        <v>0</v>
      </c>
      <c r="L30" s="7">
        <f>'Pull out test IPE 160'!L26*'Interpolación para W8X15'!$E$5</f>
        <v>0</v>
      </c>
      <c r="T30" s="4">
        <f>'Pull out test IPE 160'!T26/$D$5</f>
        <v>0</v>
      </c>
      <c r="U30" s="4">
        <f>'Pull out test IPE 160'!U26*'Interpolación para W8X15'!$E$5</f>
        <v>0</v>
      </c>
      <c r="AD30" s="9"/>
      <c r="AE30" s="10"/>
    </row>
    <row r="31" spans="3:51" x14ac:dyDescent="0.3">
      <c r="C31" s="8">
        <f>'Pull out test IPE 160'!C27/'Interpolación para W8X15'!$D$5</f>
        <v>9.4601941747572802</v>
      </c>
      <c r="D31" s="7">
        <f>'Pull out test IPE 160'!D27*'Interpolación para W8X15'!$E$5</f>
        <v>709.02439024390242</v>
      </c>
      <c r="K31" s="8">
        <f>'Pull out test IPE 160'!K27/'Interpolación para W8X15'!$D$5</f>
        <v>0.83106796116504855</v>
      </c>
      <c r="L31" s="7">
        <f>'Pull out test IPE 160'!L27*'Interpolación para W8X15'!$E$5</f>
        <v>723.53658536585363</v>
      </c>
      <c r="T31" s="4">
        <f>'Pull out test IPE 160'!T27/$D$5</f>
        <v>8.1242718446601945</v>
      </c>
      <c r="U31" s="4">
        <f>'Pull out test IPE 160'!U27*'Interpolación para W8X15'!$E$5</f>
        <v>688.29268292682934</v>
      </c>
    </row>
    <row r="32" spans="3:51" x14ac:dyDescent="0.3">
      <c r="C32" s="8">
        <f>'Pull out test IPE 160'!C28/'Interpolación para W8X15'!$D$5</f>
        <v>20.038834951456309</v>
      </c>
      <c r="D32" s="7">
        <f>'Pull out test IPE 160'!D28*'Interpolación para W8X15'!$E$5</f>
        <v>881.09756097560978</v>
      </c>
      <c r="K32" s="8">
        <f>'Pull out test IPE 160'!K28/'Interpolación para W8X15'!$D$5</f>
        <v>2.4543689320388351</v>
      </c>
      <c r="L32" s="7">
        <f>'Pull out test IPE 160'!L28*'Interpolación para W8X15'!$E$5</f>
        <v>1078.0487804878048</v>
      </c>
      <c r="T32" s="4">
        <f>'Pull out test IPE 160'!T28/$D$5</f>
        <v>20.038834951456309</v>
      </c>
      <c r="U32" s="4">
        <f>'Pull out test IPE 160'!U28*'Interpolación para W8X15'!$E$5</f>
        <v>870.73170731707319</v>
      </c>
    </row>
    <row r="33" spans="3:21" x14ac:dyDescent="0.3">
      <c r="C33" s="1" t="s">
        <v>7</v>
      </c>
      <c r="D33" s="1">
        <v>2.5</v>
      </c>
      <c r="K33" s="8">
        <f>'Pull out test IPE 160'!K29/'Interpolación para W8X15'!$D$5</f>
        <v>5.2660194174757278</v>
      </c>
      <c r="L33" s="7">
        <f>'Pull out test IPE 160'!L29*'Interpolación para W8X15'!$E$5</f>
        <v>1619.1463414634147</v>
      </c>
      <c r="T33" s="2" t="s">
        <v>7</v>
      </c>
      <c r="U33" s="2">
        <v>2.5</v>
      </c>
    </row>
    <row r="34" spans="3:21" x14ac:dyDescent="0.3">
      <c r="K34" s="8">
        <f>'Pull out test IPE 160'!K30/'Interpolación para W8X15'!$D$5</f>
        <v>19.805825242718445</v>
      </c>
      <c r="L34" s="7">
        <f>'Pull out test IPE 160'!L30*'Interpolación para W8X15'!$E$5</f>
        <v>2040</v>
      </c>
    </row>
    <row r="35" spans="3:21" x14ac:dyDescent="0.3">
      <c r="K35" s="1" t="s">
        <v>7</v>
      </c>
      <c r="L35" s="1">
        <v>2.5</v>
      </c>
    </row>
    <row r="42" spans="3:21" x14ac:dyDescent="0.3">
      <c r="C42" s="13" t="s">
        <v>18</v>
      </c>
      <c r="D42" s="13"/>
      <c r="K42" s="13" t="s">
        <v>19</v>
      </c>
      <c r="L42" s="13"/>
      <c r="T42" s="13" t="s">
        <v>20</v>
      </c>
      <c r="U42" s="13"/>
    </row>
    <row r="43" spans="3:21" x14ac:dyDescent="0.3">
      <c r="C43" s="13" t="s">
        <v>5</v>
      </c>
      <c r="D43" s="13"/>
      <c r="K43" s="13" t="s">
        <v>5</v>
      </c>
      <c r="L43" s="13"/>
      <c r="T43" s="13" t="s">
        <v>5</v>
      </c>
      <c r="U43" s="13"/>
    </row>
    <row r="44" spans="3:21" x14ac:dyDescent="0.3">
      <c r="C44" s="1" t="s">
        <v>2</v>
      </c>
      <c r="D44" s="1" t="s">
        <v>1</v>
      </c>
      <c r="K44" s="2" t="s">
        <v>2</v>
      </c>
      <c r="L44" s="2" t="s">
        <v>1</v>
      </c>
      <c r="T44" s="2" t="s">
        <v>2</v>
      </c>
      <c r="U44" s="2" t="s">
        <v>1</v>
      </c>
    </row>
    <row r="45" spans="3:21" x14ac:dyDescent="0.3">
      <c r="C45" s="1">
        <f>'Pull out test IPE 160'!C41/'Interpolación para W8X15'!$D$5</f>
        <v>0</v>
      </c>
      <c r="D45" s="8">
        <f>'Pull out test IPE 160'!D41*'Interpolación para W8X15'!$E$5</f>
        <v>0</v>
      </c>
      <c r="K45" s="8">
        <f>'Pull out test IPE 160'!K41/'Interpolación para W8X15'!$D$5</f>
        <v>0</v>
      </c>
      <c r="L45" s="7">
        <f>'Pull out test IPE 160'!L41*'Interpolación para W8X15'!$E$5</f>
        <v>0</v>
      </c>
      <c r="T45" s="4">
        <v>0</v>
      </c>
      <c r="U45" s="4">
        <f>'Pull out test IPE 160'!U41*'Interpolación para W8X15'!$E$5</f>
        <v>0</v>
      </c>
    </row>
    <row r="46" spans="3:21" x14ac:dyDescent="0.3">
      <c r="C46" s="8">
        <f>'Pull out test IPE 160'!C42/'Interpolación para W8X15'!$D$5</f>
        <v>3.4485436893203882</v>
      </c>
      <c r="D46" s="8">
        <f>'Pull out test IPE 160'!D42*'Interpolación para W8X15'!$E$5</f>
        <v>725.60975609756099</v>
      </c>
      <c r="K46" s="8">
        <f>'Pull out test IPE 160'!K42/'Interpolación para W8X15'!$D$5</f>
        <v>1.70873786407767</v>
      </c>
      <c r="L46" s="7">
        <f>'Pull out test IPE 160'!L42*'Interpolación para W8X15'!$E$5</f>
        <v>642.68292682926835</v>
      </c>
      <c r="T46" s="4">
        <f>'Pull out test IPE 160'!T42/'Interpolación para W8X15'!$D$5</f>
        <v>2.3922330097087379</v>
      </c>
      <c r="U46" s="4">
        <f>'Pull out test IPE 160'!U42*'Interpolación para W8X15'!$E$5</f>
        <v>663.41463414634154</v>
      </c>
    </row>
    <row r="47" spans="3:21" x14ac:dyDescent="0.3">
      <c r="C47" s="8">
        <f>'Pull out test IPE 160'!C43/'Interpolación para W8X15'!$D$5</f>
        <v>5.1572815533980574</v>
      </c>
      <c r="D47" s="8">
        <f>'Pull out test IPE 160'!D43*'Interpolación para W8X15'!$E$5</f>
        <v>1086.3414634146343</v>
      </c>
      <c r="K47" s="8">
        <f>'Pull out test IPE 160'!K43/'Interpolación para W8X15'!$D$5</f>
        <v>2.4233009708737865</v>
      </c>
      <c r="L47" s="7">
        <f>'Pull out test IPE 160'!L43*'Interpolación para W8X15'!$E$5</f>
        <v>1140.2439024390244</v>
      </c>
      <c r="T47" s="4">
        <f>'Pull out test IPE 160'!T43/'Interpolación para W8X15'!$D$5</f>
        <v>3.3242718446601942</v>
      </c>
      <c r="U47" s="4">
        <f>'Pull out test IPE 160'!U43*'Interpolación para W8X15'!$E$5</f>
        <v>1098.780487804878</v>
      </c>
    </row>
    <row r="48" spans="3:21" x14ac:dyDescent="0.3">
      <c r="C48" s="8">
        <f>'Pull out test IPE 160'!C44/'Interpolación para W8X15'!$D$5</f>
        <v>7.8524271844660181</v>
      </c>
      <c r="D48" s="8">
        <f>'Pull out test IPE 160'!D44*'Interpolación para W8X15'!$E$5</f>
        <v>1488.5365853658536</v>
      </c>
      <c r="K48" s="8">
        <f>'Pull out test IPE 160'!K44/'Interpolación para W8X15'!$D$5</f>
        <v>3.4407766990291258</v>
      </c>
      <c r="L48" s="7">
        <f>'Pull out test IPE 160'!L44*'Interpolación para W8X15'!$E$5</f>
        <v>1509.2682926829268</v>
      </c>
      <c r="T48" s="4">
        <f>'Pull out test IPE 160'!T44/'Interpolación para W8X15'!$D$5</f>
        <v>5.1572815533980574</v>
      </c>
      <c r="U48" s="4">
        <f>'Pull out test IPE 160'!U44*'Interpolación para W8X15'!$E$5</f>
        <v>1538.2926829268292</v>
      </c>
    </row>
    <row r="49" spans="3:21" x14ac:dyDescent="0.3">
      <c r="C49" s="8">
        <f>'Pull out test IPE 160'!C45/'Interpolación para W8X15'!$D$5</f>
        <v>13.405825242718446</v>
      </c>
      <c r="D49" s="8">
        <f>'Pull out test IPE 160'!D45*'Interpolación para W8X15'!$E$5</f>
        <v>2135.3658536585367</v>
      </c>
      <c r="K49" s="8">
        <f>'Pull out test IPE 160'!K45/'Interpolación para W8X15'!$D$5</f>
        <v>5.3514563106796107</v>
      </c>
      <c r="L49" s="7">
        <f>'Pull out test IPE 160'!L45*'Interpolación para W8X15'!$E$5</f>
        <v>2156.0975609756097</v>
      </c>
      <c r="T49" s="4">
        <f>'Pull out test IPE 160'!T45/'Interpolación para W8X15'!$D$5</f>
        <v>8.0776699029126213</v>
      </c>
      <c r="U49" s="4">
        <f>'Pull out test IPE 160'!U45*'Interpolación para W8X15'!$E$5</f>
        <v>2147.8048780487807</v>
      </c>
    </row>
    <row r="50" spans="3:21" x14ac:dyDescent="0.3">
      <c r="C50" s="8">
        <f>'Pull out test IPE 160'!C46/'Interpolación para W8X15'!$D$5</f>
        <v>19.106796116504853</v>
      </c>
      <c r="D50" s="8">
        <f>'Pull out test IPE 160'!D46*'Interpolación para W8X15'!$E$5</f>
        <v>2570.7317073170734</v>
      </c>
      <c r="K50" s="8">
        <f>'Pull out test IPE 160'!K46/'Interpolación para W8X15'!$D$5</f>
        <v>7.4407766990291258</v>
      </c>
      <c r="L50" s="7">
        <f>'Pull out test IPE 160'!L46*'Interpolación para W8X15'!$E$5</f>
        <v>2628.7804878048782</v>
      </c>
      <c r="T50" s="4">
        <f>'Pull out test IPE 160'!T46/'Interpolación para W8X15'!$D$5</f>
        <v>10.966990291262135</v>
      </c>
      <c r="U50" s="4">
        <f>'Pull out test IPE 160'!U46*'Interpolación para W8X15'!$E$5</f>
        <v>2653.6585365853662</v>
      </c>
    </row>
    <row r="51" spans="3:21" x14ac:dyDescent="0.3">
      <c r="C51" s="8">
        <f>'Pull out test IPE 160'!C47/'Interpolación para W8X15'!$D$5</f>
        <v>19.860194174757279</v>
      </c>
      <c r="D51" s="8">
        <f>'Pull out test IPE 160'!D47*'Interpolación para W8X15'!$E$5</f>
        <v>2736.5853658536585</v>
      </c>
      <c r="K51" s="8">
        <f>'Pull out test IPE 160'!K47/'Interpolación para W8X15'!$D$5</f>
        <v>8.9631067961165041</v>
      </c>
      <c r="L51" s="7">
        <f>'Pull out test IPE 160'!L47*'Interpolación para W8X15'!$E$5</f>
        <v>3030.9756097560976</v>
      </c>
      <c r="T51" s="4">
        <f>'Pull out test IPE 160'!T47/'Interpolación para W8X15'!$D$5</f>
        <v>13.126213592233007</v>
      </c>
      <c r="U51" s="4">
        <f>'Pull out test IPE 160'!U47*'Interpolación para W8X15'!$E$5</f>
        <v>3037.1951219512198</v>
      </c>
    </row>
    <row r="52" spans="3:21" x14ac:dyDescent="0.3">
      <c r="C52" s="1" t="s">
        <v>7</v>
      </c>
      <c r="D52" s="1">
        <v>2.5</v>
      </c>
      <c r="K52" s="8">
        <f>'Pull out test IPE 160'!K48/'Interpolación para W8X15'!$D$5</f>
        <v>10.796116504854368</v>
      </c>
      <c r="L52" s="7">
        <f>'Pull out test IPE 160'!L48*'Interpolación para W8X15'!$E$5</f>
        <v>3429.0243902439024</v>
      </c>
      <c r="T52" s="4">
        <f>'Pull out test IPE 160'!T48/'Interpolación para W8X15'!$D$5</f>
        <v>15.922330097087377</v>
      </c>
      <c r="U52" s="4">
        <f>'Pull out test IPE 160'!U48*'Interpolación para W8X15'!$E$5</f>
        <v>3387.560975609756</v>
      </c>
    </row>
    <row r="53" spans="3:21" x14ac:dyDescent="0.3">
      <c r="K53" s="8">
        <f>'Pull out test IPE 160'!K49/'Interpolación para W8X15'!$D$5</f>
        <v>12.970873786407765</v>
      </c>
      <c r="L53" s="7">
        <f>'Pull out test IPE 160'!L49*'Interpolación para W8X15'!$E$5</f>
        <v>3874.7560975609758</v>
      </c>
      <c r="T53" s="4">
        <f>'Pull out test IPE 160'!T49/'Interpolación para W8X15'!$D$5</f>
        <v>19.106796116504853</v>
      </c>
      <c r="U53" s="4">
        <f>'Pull out test IPE 160'!U49*'Interpolación para W8X15'!$E$5</f>
        <v>3814.6341463414637</v>
      </c>
    </row>
    <row r="54" spans="3:21" x14ac:dyDescent="0.3">
      <c r="K54" s="8">
        <f>'Pull out test IPE 160'!K50/'Interpolación para W8X15'!$D$5</f>
        <v>16.077669902912621</v>
      </c>
      <c r="L54" s="7">
        <f>'Pull out test IPE 160'!L50*'Interpolación para W8X15'!$E$5</f>
        <v>4295.6097560975613</v>
      </c>
      <c r="T54" s="4">
        <f>'Pull out test IPE 160'!T50/'Interpolación para W8X15'!$D$5</f>
        <v>19.650485436893202</v>
      </c>
      <c r="U54" s="4">
        <f>'Pull out test IPE 160'!U50*'Interpolación para W8X15'!$E$5</f>
        <v>4013.6585365853662</v>
      </c>
    </row>
    <row r="55" spans="3:21" x14ac:dyDescent="0.3">
      <c r="K55" s="1" t="s">
        <v>7</v>
      </c>
      <c r="L55" s="1">
        <v>2.5</v>
      </c>
      <c r="T55" s="2" t="s">
        <v>7</v>
      </c>
      <c r="U55" s="2">
        <v>2.5</v>
      </c>
    </row>
  </sheetData>
  <mergeCells count="19">
    <mergeCell ref="C42:D42"/>
    <mergeCell ref="K42:L42"/>
    <mergeCell ref="T42:U42"/>
    <mergeCell ref="C43:D43"/>
    <mergeCell ref="K43:L43"/>
    <mergeCell ref="T43:U43"/>
    <mergeCell ref="C27:D27"/>
    <mergeCell ref="K27:L27"/>
    <mergeCell ref="T27:U27"/>
    <mergeCell ref="C28:D28"/>
    <mergeCell ref="K28:L28"/>
    <mergeCell ref="T28:U28"/>
    <mergeCell ref="C11:D11"/>
    <mergeCell ref="K11:L11"/>
    <mergeCell ref="G3:J3"/>
    <mergeCell ref="T9:U9"/>
    <mergeCell ref="C10:D10"/>
    <mergeCell ref="K10:L10"/>
    <mergeCell ref="T10:U10"/>
  </mergeCells>
  <conditionalFormatting sqref="AO9:AO23 AS9:AS23 AU9:AU23">
    <cfRule type="cellIs" dxfId="1" priority="1" operator="lessThan">
      <formula>1.5</formula>
    </cfRule>
    <cfRule type="cellIs" dxfId="0" priority="2" operator="greaterThanOrEqual">
      <formula>1.5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0E5B-8DEE-4C90-90FF-87903AE09F66}">
  <dimension ref="A1"/>
  <sheetViews>
    <sheetView workbookViewId="0">
      <selection activeCell="C6" sqref="C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Pull out test IPE 160</vt:lpstr>
      <vt:lpstr>Interpolación para W8X10</vt:lpstr>
      <vt:lpstr>Interpolación para W8X15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Cadavid Hoyos</dc:creator>
  <cp:lastModifiedBy>juan pablo cadavid hoyos</cp:lastModifiedBy>
  <dcterms:created xsi:type="dcterms:W3CDTF">2025-11-04T19:54:33Z</dcterms:created>
  <dcterms:modified xsi:type="dcterms:W3CDTF">2026-03-06T19:47:12Z</dcterms:modified>
</cp:coreProperties>
</file>